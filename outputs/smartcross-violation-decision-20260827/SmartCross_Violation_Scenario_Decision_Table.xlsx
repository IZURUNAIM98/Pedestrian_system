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17" documentId="11_0C247DF90FF05C63712EB012CF6E82FC94C1335E" xr6:coauthVersionLast="47" xr6:coauthVersionMax="47" xr10:uidLastSave="{C619509F-C85E-4269-8847-22A90D21B822}"/>
  <bookViews>
    <workbookView xWindow="-108" yWindow="-108" windowWidth="23256" windowHeight="12456" xr2:uid="{00000000-000D-0000-FFFF-FFFF00000000}"/>
  </bookViews>
  <sheets>
    <sheet name="Decision Summary" sheetId="1" r:id="rId1"/>
    <sheet name="Normal Proposals" sheetId="2" r:id="rId2"/>
    <sheet name="School Proposals" sheetId="3" r:id="rId3"/>
    <sheet name="Current Comparison" sheetId="4" r:id="rId4"/>
    <sheet name="Emergency Hazard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5" l="1"/>
  <c r="I11" i="5"/>
  <c r="I10" i="5"/>
  <c r="I9" i="5"/>
  <c r="I8" i="5"/>
  <c r="I7" i="5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F21" i="1"/>
  <c r="I21" i="1" s="1"/>
  <c r="E21" i="1"/>
  <c r="D21" i="1"/>
  <c r="C21" i="1"/>
  <c r="F20" i="1"/>
  <c r="I20" i="1" s="1"/>
  <c r="E20" i="1"/>
  <c r="D20" i="1"/>
  <c r="C20" i="1"/>
  <c r="F19" i="1"/>
  <c r="I19" i="1" s="1"/>
  <c r="E19" i="1"/>
  <c r="D19" i="1"/>
  <c r="C19" i="1"/>
  <c r="I7" i="1"/>
  <c r="H7" i="1"/>
  <c r="H21" i="1" l="1"/>
  <c r="H19" i="1"/>
  <c r="H20" i="1"/>
</calcChain>
</file>

<file path=xl/sharedStrings.xml><?xml version="1.0" encoding="utf-8"?>
<sst xmlns="http://schemas.openxmlformats.org/spreadsheetml/2006/main" count="676" uniqueCount="319">
  <si>
    <t>SmartCross Violation Catalogue Decision Workbook</t>
  </si>
  <si>
    <t>Purpose: help select distinct, setting-specific violation profiles for Normal and School crossings without changing the deployed simulator.</t>
  </si>
  <si>
    <t>Recommended direction: keep 20 core violations for each scenario, redesign their triggers and motion profiles by setting, and classify collisions or fires separately as emergency hazards.</t>
  </si>
  <si>
    <t>Current Normal violations</t>
  </si>
  <si>
    <t>Current School violations</t>
  </si>
  <si>
    <t>Shared profiles</t>
  </si>
  <si>
    <t>Identical shared motions</t>
  </si>
  <si>
    <t>Proposed Normal</t>
  </si>
  <si>
    <t>Proposed School</t>
  </si>
  <si>
    <t>Core approved</t>
  </si>
  <si>
    <t>Core pending</t>
  </si>
  <si>
    <t>Current catalogue audit</t>
  </si>
  <si>
    <t>Finding</t>
  </si>
  <si>
    <t>Evidence</t>
  </si>
  <si>
    <t>Effect</t>
  </si>
  <si>
    <t>Recommended decision</t>
  </si>
  <si>
    <t>Most profiles are copied across settings</t>
  </si>
  <si>
    <t>17 of 19 shared profiles use identical motion (89.5%).</t>
  </si>
  <si>
    <t>The School scenario often behaves like the Normal scenario with different scenery.</t>
  </si>
  <si>
    <t>Adopt separate Normal and School catalogues with unique triggers, road users and paths.</t>
  </si>
  <si>
    <t>Only two shared profiles have minor differences</t>
  </si>
  <si>
    <t>Speeding changes one speed value; vulnerable-user conflict changes elderly pedestrian to child.</t>
  </si>
  <si>
    <t>The behavioural distinction is too small to explain setting-specific risk.</t>
  </si>
  <si>
    <t>Rewrite both sequence logic and explanatory text for each setting.</t>
  </si>
  <si>
    <t>School-only violation 17 creates unequal lists</t>
  </si>
  <si>
    <t>Normal has 19 violations; School has 20.</t>
  </si>
  <si>
    <t>Numbering and comparison are confusing.</t>
  </si>
  <si>
    <t>Give Normal a replacement local-road profile and reserve school-zone controls for School.</t>
  </si>
  <si>
    <t>Collision and fire are outcomes, not ordinary violations</t>
  </si>
  <si>
    <t>Current items 19 and 20 describe emergency events.</t>
  </si>
  <si>
    <t>The catalogue mixes causative behaviour with consequences.</t>
  </si>
  <si>
    <t>Move them to a separate Emergency Hazards category.</t>
  </si>
  <si>
    <t>Decision status (updates when Excel recalculates)</t>
  </si>
  <si>
    <t>Catalogue</t>
  </si>
  <si>
    <t>Approve</t>
  </si>
  <si>
    <t>Revise</t>
  </si>
  <si>
    <t>Reject</t>
  </si>
  <si>
    <t>Pending</t>
  </si>
  <si>
    <t>Total</t>
  </si>
  <si>
    <t>Completion</t>
  </si>
  <si>
    <t>Status</t>
  </si>
  <si>
    <t>Normal</t>
  </si>
  <si>
    <t>School</t>
  </si>
  <si>
    <t>Emergency hazards</t>
  </si>
  <si>
    <t>Normal Proposals: proposed catalogue</t>
  </si>
  <si>
    <t>Recommended 20-item catalogue for an ordinary mid-block local-road crossing.</t>
  </si>
  <si>
    <t>Decision instruction: select Approve, Revise or Reject in column I. Add any wording or sequence changes in column J.</t>
  </si>
  <si>
    <t>ID</t>
  </si>
  <si>
    <t>Proposed violation</t>
  </si>
  <si>
    <t>Scenario trigger / context</t>
  </si>
  <si>
    <t>Primary road user</t>
  </si>
  <si>
    <t>Affected pedestrian</t>
  </si>
  <si>
    <t>Distinct simulation motion</t>
  </si>
  <si>
    <t>Category</t>
  </si>
  <si>
    <t>Priority</t>
  </si>
  <si>
    <t>Decision</t>
  </si>
  <si>
    <t>Decision notes</t>
  </si>
  <si>
    <t>Final status</t>
  </si>
  <si>
    <t>N01</t>
  </si>
  <si>
    <t>Failure to yield to a pedestrian already on the zebra crossing</t>
  </si>
  <si>
    <t>Pedestrian has entered the marked crossing during an authorised WALK phase.</t>
  </si>
  <si>
    <t>Vehicle A or B</t>
  </si>
  <si>
    <t>Adult pedestrian</t>
  </si>
  <si>
    <t>Vehicle approaches, fails to yield and enters the occupied zebra crossing.</t>
  </si>
  <si>
    <t>Violation</t>
  </si>
  <si>
    <t>High</t>
  </si>
  <si>
    <t/>
  </si>
  <si>
    <t>N02</t>
  </si>
  <si>
    <t>Excessive approach speed in the crossing zone</t>
  </si>
  <si>
    <t>Measured speed exceeds the configured local-road threshold before the crossing.</t>
  </si>
  <si>
    <t>Any pedestrian</t>
  </si>
  <si>
    <t>Show a clear high-speed approach, late detection and increased stopping distance.</t>
  </si>
  <si>
    <t>N03</t>
  </si>
  <si>
    <t>Red-signal violation</t>
  </si>
  <si>
    <t>Vehicle signal is RED while the pedestrian movement is protected.</t>
  </si>
  <si>
    <t>Vehicle crosses its stop line and proceeds through the controlled crossing.</t>
  </si>
  <si>
    <t>N04</t>
  </si>
  <si>
    <t>Stop-line encroachment without entering the zebra crossing</t>
  </si>
  <si>
    <t>Vehicle stops beyond the stop line but before the first zebra stripe.</t>
  </si>
  <si>
    <t>Waiting pedestrian</t>
  </si>
  <si>
    <t>Vehicle creeps forward, crosses the stop line and remains stationary in the buffer area.</t>
  </si>
  <si>
    <t>Medium</t>
  </si>
  <si>
    <t>N05</t>
  </si>
  <si>
    <t>Vehicle stopped on the zebra crossing</t>
  </si>
  <si>
    <t>Queueing or poor anticipation leaves the crossing obstructed.</t>
  </si>
  <si>
    <t>Crossing pedestrian</t>
  </si>
  <si>
    <t>Vehicle enters and remains stationary on the zebra stripes; no reverse movement.</t>
  </si>
  <si>
    <t>N06</t>
  </si>
  <si>
    <t>Parking over the kerb ramp or tactile route</t>
  </si>
  <si>
    <t>A parked vehicle blocks the accessible route at the crossing edge.</t>
  </si>
  <si>
    <t>Wheelchair user or pedestrian with visual impairment</t>
  </si>
  <si>
    <t>Vehicle pulls into the kerbside obstruction point and stops across the accessible path.</t>
  </si>
  <si>
    <t>N07</t>
  </si>
  <si>
    <t>Overtaking a vehicle that has yielded at the crossing</t>
  </si>
  <si>
    <t>One vehicle is correctly stopped for a pedestrian; another passes it.</t>
  </si>
  <si>
    <t>Vehicle B</t>
  </si>
  <si>
    <t>Vehicle A stops near the line; Vehicle B overtakes and enters the conflict area.</t>
  </si>
  <si>
    <t>N08</t>
  </si>
  <si>
    <t>Motorcycle filtering past a stopped queue</t>
  </si>
  <si>
    <t>Traffic is stopped to protect a pedestrian crossing movement.</t>
  </si>
  <si>
    <t>Motorcycle</t>
  </si>
  <si>
    <t>Motorcycle filters forward and continues across the stop line without reversing.</t>
  </si>
  <si>
    <t>N09</t>
  </si>
  <si>
    <t>Motorcycle using the footway or pedestrian route</t>
  </si>
  <si>
    <t>Rider bypasses road congestion by entering pedestrian space.</t>
  </si>
  <si>
    <t>Footway user</t>
  </si>
  <si>
    <t>Motorcycle diverts from the carriageway onto the footway and passes the crossing entrance.</t>
  </si>
  <si>
    <t>N10</t>
  </si>
  <si>
    <t>Wrong-direction approach</t>
  </si>
  <si>
    <t>Vehicle travels against the intended traffic direction near the crossing.</t>
  </si>
  <si>
    <t>Vehicle enters from the opposing direction and approaches the conflict zone head-on.</t>
  </si>
  <si>
    <t>N11</t>
  </si>
  <si>
    <t>Opposing-lane queue bypass</t>
  </si>
  <si>
    <t>Driver uses the opposing lane to pass a queue at the crossing.</t>
  </si>
  <si>
    <t>Vehicle moves laterally into the opposing lane, passes the queue and reaches the crossing.</t>
  </si>
  <si>
    <t>N12</t>
  </si>
  <si>
    <t>Unsafe lane change on the crossing approach</t>
  </si>
  <si>
    <t>Driver changes lane inside the marked detection or approach zone.</t>
  </si>
  <si>
    <t>Vehicle changes lane rapidly while approaching, reducing visibility and reaction time.</t>
  </si>
  <si>
    <t>N13</t>
  </si>
  <si>
    <t>U-turn across the crossing approach</t>
  </si>
  <si>
    <t>Driver reverses direction within the controlled crossing area.</t>
  </si>
  <si>
    <t>Vehicle A</t>
  </si>
  <si>
    <t>Use a slow, smooth curved path that follows the marked U-turn trajectory.</t>
  </si>
  <si>
    <t>N14</t>
  </si>
  <si>
    <t>Tailgating a yielding vehicle</t>
  </si>
  <si>
    <t>Following vehicle leaves insufficient distance behind a vehicle stopping for a pedestrian.</t>
  </si>
  <si>
    <t>Lead vehicle brakes and stops; following vehicle closes the gap abruptly near the line.</t>
  </si>
  <si>
    <t>N15</t>
  </si>
  <si>
    <t>Distracted or delayed driver response</t>
  </si>
  <si>
    <t>Driver reacts late to a valid pedestrian crossing demand.</t>
  </si>
  <si>
    <t>Vehicle continues during the detection phase, then brakes late near the crossing.</t>
  </si>
  <si>
    <t>N16</t>
  </si>
  <si>
    <t>Aggressive acceleration followed by emergency braking</t>
  </si>
  <si>
    <t>Driver accelerates into the approach despite an emerging hazard.</t>
  </si>
  <si>
    <t>Vehicle approaches first, accelerates, engages emergency braking and stops before the crossing line.</t>
  </si>
  <si>
    <t>N17</t>
  </si>
  <si>
    <t>Failure to yield to an elderly pedestrian or wheelchair user</t>
  </si>
  <si>
    <t>A slower or mobility-impaired user requires extended crossing time.</t>
  </si>
  <si>
    <t>Elderly pedestrian or wheelchair user</t>
  </si>
  <si>
    <t>Vehicle enters before the vulnerable user has cleared the conflict area.</t>
  </si>
  <si>
    <t>N18</t>
  </si>
  <si>
    <t>Parking within the pedestrian sight-distance area</t>
  </si>
  <si>
    <t>Parked vehicle obscures the mutual view between driver and pedestrian.</t>
  </si>
  <si>
    <t>Vehicle parks beside the crossing approach and blocks the visibility envelope.</t>
  </si>
  <si>
    <t>N19</t>
  </si>
  <si>
    <t>Vehicle exiting a driveway or parking access across an occupied crossing</t>
  </si>
  <si>
    <t>Vehicle crosses the footway or zebra route while leaving adjacent access.</t>
  </si>
  <si>
    <t>Vehicle emerges from the access point and turns across the pedestrian path.</t>
  </si>
  <si>
    <t>N20</t>
  </si>
  <si>
    <t>Vehicle mounting the kerb or footway near the crossing</t>
  </si>
  <si>
    <t>Loss of control or deliberate avoidance places the vehicle in pedestrian space.</t>
  </si>
  <si>
    <t>Vehicle leaves the carriageway, mounts the kerb and stops at the infrastructure conflict point.</t>
  </si>
  <si>
    <t>School Proposals: proposed catalogue</t>
  </si>
  <si>
    <t>Recommended 20-item catalogue for a school frontage, pupil route and active school-zone controls.</t>
  </si>
  <si>
    <t>S01</t>
  </si>
  <si>
    <t>Exceeding the active school-zone speed limit</t>
  </si>
  <si>
    <t>School-zone controls are active during pupil arrival or departure.</t>
  </si>
  <si>
    <t>Pupils</t>
  </si>
  <si>
    <t>Vehicle enters the school frontage above the configured school-zone threshold.</t>
  </si>
  <si>
    <t>S02</t>
  </si>
  <si>
    <t>Failure to yield to a supervised group of pupils</t>
  </si>
  <si>
    <t>A group is crossing under staff or guardian supervision.</t>
  </si>
  <si>
    <t>Pupil group</t>
  </si>
  <si>
    <t>Both vehicles should stop near their marked stop points; the violating vehicle then advances into the protected movement.</t>
  </si>
  <si>
    <t>S03</t>
  </si>
  <si>
    <t>Red-signal breach during a pupil crossing call</t>
  </si>
  <si>
    <t>The pupil call has activated the protected school crossing phase.</t>
  </si>
  <si>
    <t>Vehicle crosses the stop line while the school crossing signal is RED.</t>
  </si>
  <si>
    <t>S04</t>
  </si>
  <si>
    <t>Stop-line encroachment into the pupil crossing envelope</t>
  </si>
  <si>
    <t>Vehicle stops beyond the line and reduces the pupil waiting or visibility area.</t>
  </si>
  <si>
    <t>Waiting pupils</t>
  </si>
  <si>
    <t>Vehicle creeps beyond the line and remains stationary before the zebra stripes.</t>
  </si>
  <si>
    <t>S05</t>
  </si>
  <si>
    <t>Stopping or parking on the school zebra crossing</t>
  </si>
  <si>
    <t>Drop-off activity blocks the marked pupil route.</t>
  </si>
  <si>
    <t>Vehicle enters and remains stationary on the zebra crossing.</t>
  </si>
  <si>
    <t>S06</t>
  </si>
  <si>
    <t>Blocking the school-gate pedestrian route</t>
  </si>
  <si>
    <t>A vehicle obstructs the direct route between the gate and crossing.</t>
  </si>
  <si>
    <t>Pupils and guardians</t>
  </si>
  <si>
    <t>Vehicle pulls into the gate frontage and stops across the designated walking route.</t>
  </si>
  <si>
    <t>S07</t>
  </si>
  <si>
    <t>Blocking the tactile or accessible pupil route</t>
  </si>
  <si>
    <t>A vehicle obstructs the kerb ramp or tactile guidance used by pupils.</t>
  </si>
  <si>
    <t>Pupil with mobility or visual impairment</t>
  </si>
  <si>
    <t>Vehicle stops over the accessible route and prevents safe entry to the crossing.</t>
  </si>
  <si>
    <t>S08</t>
  </si>
  <si>
    <t>Double parking in the school drop-off lane</t>
  </si>
  <si>
    <t>A second vehicle stops alongside an occupied kerbside bay.</t>
  </si>
  <si>
    <t>Vehicle pulls alongside Vehicle A and creates a screened pedestrian emergence point.</t>
  </si>
  <si>
    <t>S09</t>
  </si>
  <si>
    <t>Unauthorised stopping in the school-bus bay</t>
  </si>
  <si>
    <t>Private vehicle occupies the designated bus loading area.</t>
  </si>
  <si>
    <t>Bus passengers</t>
  </si>
  <si>
    <t>Vehicle enters the school-bus bay and remains stationary during operating hours.</t>
  </si>
  <si>
    <t>S10</t>
  </si>
  <si>
    <t>Passenger drop-off on the traffic-facing side</t>
  </si>
  <si>
    <t>A pupil exits directly into the active traffic lane.</t>
  </si>
  <si>
    <t>Pupil passenger</t>
  </si>
  <si>
    <t>Vehicle stops; pupil movement begins from the traffic-facing side into the carriageway conflict area.</t>
  </si>
  <si>
    <t>S11</t>
  </si>
  <si>
    <t>Reversing through the school frontage</t>
  </si>
  <si>
    <t>Driver reverses within the pupil arrival or departure zone.</t>
  </si>
  <si>
    <t>Vehicle moves backwards along the gate frontage toward the pedestrian route.</t>
  </si>
  <si>
    <t>S12</t>
  </si>
  <si>
    <t>U-turn immediately outside the school gate</t>
  </si>
  <si>
    <t>Driver turns across the school frontage and pupil route.</t>
  </si>
  <si>
    <t>Use a slow, smooth curved path that clearly follows the marked U-turn trajectory.</t>
  </si>
  <si>
    <t>S13</t>
  </si>
  <si>
    <t>Overtaking a vehicle yielding to pupils</t>
  </si>
  <si>
    <t>One vehicle is stopped for pupils; another attempts to pass.</t>
  </si>
  <si>
    <t>Crossing pupils</t>
  </si>
  <si>
    <t>Vehicle A stops at its marked point; Vehicle B overtakes and enters the pupil conflict area.</t>
  </si>
  <si>
    <t>S14</t>
  </si>
  <si>
    <t>Failure to obey a simulated crossing warden STOP instruction</t>
  </si>
  <si>
    <t>A crossing warden has stopped traffic for pupils.</t>
  </si>
  <si>
    <t>Vehicle continues beyond the warden control point into the protected crossing movement.</t>
  </si>
  <si>
    <t>S15</t>
  </si>
  <si>
    <t>Motorcycle filtering through the drop-off queue</t>
  </si>
  <si>
    <t>Motorcycle uses the narrow gap beside stopped school traffic.</t>
  </si>
  <si>
    <t>Motorcycle filters smoothly past the queue and continues across the stop line.</t>
  </si>
  <si>
    <t>S16</t>
  </si>
  <si>
    <t>Motorcycle entering the school forecourt or pupil footway</t>
  </si>
  <si>
    <t>Rider bypasses congestion using a pupil-only route.</t>
  </si>
  <si>
    <t>Motorcycle leaves the road and enters the forecourt or footway near the gate.</t>
  </si>
  <si>
    <t>S17</t>
  </si>
  <si>
    <t>Wrong-way travel in the school circulation route</t>
  </si>
  <si>
    <t>Vehicle ignores the intended one-way arrival or departure flow.</t>
  </si>
  <si>
    <t>Pupils and drivers</t>
  </si>
  <si>
    <t>Vehicle travels against the circulation direction toward the crossing.</t>
  </si>
  <si>
    <t>S18</t>
  </si>
  <si>
    <t>Opposing-lane bypass of the school arrival queue</t>
  </si>
  <si>
    <t>Driver passes the queue using the opposing lane near the gate.</t>
  </si>
  <si>
    <t>Vehicle moves into the opposing lane and reaches the crossing ahead of the queue.</t>
  </si>
  <si>
    <t>S19</t>
  </si>
  <si>
    <t>Distracted driving near a pupil group</t>
  </si>
  <si>
    <t>Driver response is delayed while pupils are visible near the crossing.</t>
  </si>
  <si>
    <t>Vehicle continues during detection and brakes late as pupils enter the crossing.</t>
  </si>
  <si>
    <t>S20</t>
  </si>
  <si>
    <t>Parking that conceals a child from approaching drivers</t>
  </si>
  <si>
    <t>A parked vehicle blocks sight lines to a child at the crossing edge.</t>
  </si>
  <si>
    <t>Child pedestrian</t>
  </si>
  <si>
    <t>Parked vehicle occupies the visibility zone; child emergence is shown only after the view is obstructed.</t>
  </si>
  <si>
    <t>Current implementation comparison</t>
  </si>
  <si>
    <t>Audit inventory showing where the Normal and School profiles are copied, weakly differentiated or scenario-specific.</t>
  </si>
  <si>
    <t>Interpretation: identical motion means the actor path and sequence are effectively shared. This sheet supports the redesign decision; it is not a legal determination.</t>
  </si>
  <si>
    <t>No.</t>
  </si>
  <si>
    <t>Current label</t>
  </si>
  <si>
    <t>Motion comparison</t>
  </si>
  <si>
    <t>Observed difference</t>
  </si>
  <si>
    <t>Audit classification</t>
  </si>
  <si>
    <t>Recommendation</t>
  </si>
  <si>
    <t>Crossing-zone speeding</t>
  </si>
  <si>
    <t>Available</t>
  </si>
  <si>
    <t>Minor numeric difference</t>
  </si>
  <si>
    <t>School speed value differs</t>
  </si>
  <si>
    <t>Weak differentiation</t>
  </si>
  <si>
    <t>Retain the topic but define separate local-road and active school-zone thresholds.</t>
  </si>
  <si>
    <t>Identical</t>
  </si>
  <si>
    <t>Same shared motion profile</t>
  </si>
  <si>
    <t>Copied profile</t>
  </si>
  <si>
    <t>Replace or rewrite so the trigger, actor and motion reflect the selected setting.</t>
  </si>
  <si>
    <t>Failure to yield</t>
  </si>
  <si>
    <t>Stopped on zebra crossing</t>
  </si>
  <si>
    <t>Accessibility obstruction</t>
  </si>
  <si>
    <t>Motorcycle filtering</t>
  </si>
  <si>
    <t>Premature pedestrian movement</t>
  </si>
  <si>
    <t>Unsafe overtaking</t>
  </si>
  <si>
    <t>Wrong-way approach</t>
  </si>
  <si>
    <t>Opposing-lane bypass</t>
  </si>
  <si>
    <t>Unsafe lane change</t>
  </si>
  <si>
    <t>Tailgating</t>
  </si>
  <si>
    <t>Distracted driving</t>
  </si>
  <si>
    <t>Emergency braking</t>
  </si>
  <si>
    <t>U-turn at crossing</t>
  </si>
  <si>
    <t>Vulnerable pedestrian conflict</t>
  </si>
  <si>
    <t>Minor actor difference</t>
  </si>
  <si>
    <t>Elderly pedestrian changes to child</t>
  </si>
  <si>
    <t>Separate mobility-support needs from child visibility and behaviour.</t>
  </si>
  <si>
    <t>School-zone violation</t>
  </si>
  <si>
    <t>Not available</t>
  </si>
  <si>
    <t>School-only</t>
  </si>
  <si>
    <t>School-zone geometry and control</t>
  </si>
  <si>
    <t>Scenario-specific</t>
  </si>
  <si>
    <t>Keep only in School if retained; replace Normal slot with a local-road case.</t>
  </si>
  <si>
    <t>Parking-related obstruction</t>
  </si>
  <si>
    <t>Collision event</t>
  </si>
  <si>
    <t>Same collision sequence</t>
  </si>
  <si>
    <t>Emergency outcome</t>
  </si>
  <si>
    <t>Move to the Emergency Hazards sheet; do not count as an ordinary traffic violation.</t>
  </si>
  <si>
    <t>Vehicle fire event</t>
  </si>
  <si>
    <t>Same fire sequence</t>
  </si>
  <si>
    <t>Emergency hazards and outcomes</t>
  </si>
  <si>
    <t>Optional separate catalogue for collision, fire, breakdown, medical and control-system emergencies.</t>
  </si>
  <si>
    <t>These are recommended as emergency outcomes or operational hazards, not ordinary traffic-violation selections.</t>
  </si>
  <si>
    <t>Suggested hazard</t>
  </si>
  <si>
    <t>Sequence distinction</t>
  </si>
  <si>
    <t>E01</t>
  </si>
  <si>
    <t>Pedestrian collision</t>
  </si>
  <si>
    <t>Vehicle and pedestrian move to the zebra-crossing conflict point; the alarm and red impact marker appear only after contact.</t>
  </si>
  <si>
    <t>E02</t>
  </si>
  <si>
    <t>Collision with crossing-signal infrastructure</t>
  </si>
  <si>
    <t>Vehicle A follows a defined path and collides with the traffic-light pole; the alarm and impact marker appear after contact.</t>
  </si>
  <si>
    <t>E03</t>
  </si>
  <si>
    <t>Vehicle fire, smoke or explosion</t>
  </si>
  <si>
    <t>A stationary or crashed vehicle develops smoke or fire and triggers the emergency-response sequence.</t>
  </si>
  <si>
    <t>E04</t>
  </si>
  <si>
    <t>Stalled vehicle blocking the crossing</t>
  </si>
  <si>
    <t>Vehicle loses mobility and remains stopped on or near the pedestrian route.</t>
  </si>
  <si>
    <t>Operational hazard</t>
  </si>
  <si>
    <t>E05</t>
  </si>
  <si>
    <t>Medical emergency on the crossing</t>
  </si>
  <si>
    <t>A pedestrian becomes immobile and the controller holds conflicting vehicle movements while assistance is requested.</t>
  </si>
  <si>
    <t>E06</t>
  </si>
  <si>
    <t>Signal or controller failure</t>
  </si>
  <si>
    <t>Conflicting indications or loss of signal output triggers a fail-safe STOP state and maintenance alert.</t>
  </si>
  <si>
    <t>System hazard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</si>
</sst>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0"/>
      <color rgb="FFFFFFFF"/>
      <name val="Aptos Display"/>
    </font>
    <font>
      <i/>
      <sz val="10"/>
      <color rgb="FF0B3B49"/>
      <name val="Aptos"/>
    </font>
    <font>
      <b/>
      <sz val="10"/>
      <color rgb="FF062A35"/>
      <name val="Aptos"/>
    </font>
    <font>
      <b/>
      <sz val="10"/>
      <color rgb="FFFFFFFF"/>
      <name val="Aptos"/>
    </font>
    <font>
      <b/>
      <sz val="18"/>
      <color rgb="FF062A35"/>
      <name val="Aptos Display"/>
    </font>
    <font>
      <b/>
      <sz val="14"/>
      <color rgb="FFFFFFFF"/>
      <name val="Aptos Display"/>
    </font>
    <font>
      <b/>
      <sz val="9.5"/>
      <color rgb="FF17212B"/>
      <name val="Aptos"/>
    </font>
    <font>
      <sz val="9.5"/>
      <color rgb="FF17212B"/>
      <name val="Aptos"/>
    </font>
    <font>
      <b/>
      <sz val="10"/>
      <color rgb="FF17212B"/>
      <name val="Aptos"/>
    </font>
    <font>
      <sz val="10"/>
      <color rgb="FF17212B"/>
      <name val="Aptos"/>
    </font>
    <font>
      <i/>
      <sz val="10"/>
      <color rgb="FF062A35"/>
      <name val="Aptos"/>
    </font>
    <font>
      <b/>
      <sz val="10"/>
      <color rgb="FFC83E4D"/>
      <name val="Aptos"/>
    </font>
  </fonts>
  <fills count="12">
    <fill>
      <patternFill patternType="none"/>
    </fill>
    <fill>
      <patternFill patternType="gray125"/>
    </fill>
    <fill>
      <patternFill patternType="solid">
        <fgColor rgb="FF062A35"/>
      </patternFill>
    </fill>
    <fill>
      <patternFill patternType="solid">
        <fgColor rgb="FFE8F7F1"/>
      </patternFill>
    </fill>
    <fill>
      <patternFill patternType="solid">
        <fgColor rgb="FFFFF4D6"/>
      </patternFill>
    </fill>
    <fill>
      <patternFill patternType="solid">
        <fgColor rgb="FF0B3B49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AF5FA"/>
      </patternFill>
    </fill>
    <fill>
      <patternFill patternType="solid">
        <fgColor rgb="FFFBEAEC"/>
      </patternFill>
    </fill>
    <fill>
      <patternFill patternType="solid">
        <fgColor rgb="FFC83E4D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9" fontId="10" fillId="7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9" fontId="10" fillId="8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6" fillId="2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11" fillId="6" borderId="0" xfId="0" applyFont="1" applyFill="1" applyAlignment="1">
      <alignment vertical="center" wrapText="1"/>
    </xf>
    <xf numFmtId="0" fontId="12" fillId="1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C281"/>
    <pageSetUpPr fitToPage="1"/>
  </sheetPr>
  <dimension ref="B2:I21"/>
  <sheetViews>
    <sheetView showGridLines="0" tabSelected="1" workbookViewId="0">
      <pane ySplit="6" topLeftCell="A7" activePane="bottomLeft" state="frozen"/>
      <selection pane="bottomLeft" activeCell="J4" sqref="J4"/>
    </sheetView>
  </sheetViews>
  <sheetFormatPr defaultRowHeight="14.4" x14ac:dyDescent="0.3"/>
  <cols>
    <col min="2" max="2" width="30" customWidth="1"/>
    <col min="3" max="3" width="24" customWidth="1"/>
    <col min="4" max="4" width="27" customWidth="1"/>
    <col min="5" max="5" width="22" customWidth="1"/>
    <col min="6" max="9" width="18" customWidth="1"/>
  </cols>
  <sheetData>
    <row r="2" spans="2:9" ht="34.049999999999997" customHeight="1" x14ac:dyDescent="0.3">
      <c r="B2" s="31" t="s">
        <v>0</v>
      </c>
      <c r="C2" s="31"/>
      <c r="D2" s="31"/>
      <c r="E2" s="31"/>
      <c r="F2" s="31"/>
      <c r="G2" s="31"/>
      <c r="H2" s="31"/>
      <c r="I2" s="31"/>
    </row>
    <row r="3" spans="2:9" ht="30" customHeight="1" x14ac:dyDescent="0.3">
      <c r="B3" s="32" t="s">
        <v>1</v>
      </c>
      <c r="C3" s="32"/>
      <c r="D3" s="32"/>
      <c r="E3" s="32"/>
      <c r="F3" s="32"/>
      <c r="G3" s="32"/>
      <c r="H3" s="32"/>
      <c r="I3" s="32"/>
    </row>
    <row r="4" spans="2:9" ht="34.049999999999997" customHeight="1" x14ac:dyDescent="0.3">
      <c r="B4" s="33" t="s">
        <v>2</v>
      </c>
      <c r="C4" s="33"/>
      <c r="D4" s="33"/>
      <c r="E4" s="33"/>
      <c r="F4" s="33"/>
      <c r="G4" s="33"/>
      <c r="H4" s="33"/>
      <c r="I4" s="33"/>
    </row>
    <row r="6" spans="2:9" ht="34.049999999999997" customHeight="1" x14ac:dyDescent="0.3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</row>
    <row r="7" spans="2:9" ht="40.049999999999997" customHeight="1" x14ac:dyDescent="0.3">
      <c r="B7" s="2">
        <v>19</v>
      </c>
      <c r="C7" s="2">
        <v>20</v>
      </c>
      <c r="D7" s="2">
        <v>19</v>
      </c>
      <c r="E7" s="2">
        <v>17</v>
      </c>
      <c r="F7" s="3">
        <v>20</v>
      </c>
      <c r="G7" s="3">
        <v>20</v>
      </c>
      <c r="H7" s="3">
        <f>COUNTIF('Normal Proposals'!$J$7:$J$26,"Approve")+COUNTIF('School Proposals'!$J$7:$J$26,"Approve")</f>
        <v>0</v>
      </c>
      <c r="I7" s="3">
        <f>COUNTIF('Normal Proposals'!$J$7:$J$26,"Pending")+COUNTIF('School Proposals'!$J$7:$J$26,"Pending")</f>
        <v>40</v>
      </c>
    </row>
    <row r="9" spans="2:9" ht="28.05" customHeight="1" x14ac:dyDescent="0.35">
      <c r="B9" s="34" t="s">
        <v>11</v>
      </c>
      <c r="C9" s="34"/>
      <c r="D9" s="34"/>
      <c r="E9" s="34"/>
      <c r="F9" s="34"/>
      <c r="G9" s="34"/>
      <c r="H9" s="34"/>
      <c r="I9" s="34"/>
    </row>
    <row r="10" spans="2:9" ht="34.049999999999997" customHeight="1" x14ac:dyDescent="0.3">
      <c r="B10" s="1" t="s">
        <v>12</v>
      </c>
      <c r="C10" s="1" t="s">
        <v>13</v>
      </c>
      <c r="D10" s="1" t="s">
        <v>14</v>
      </c>
      <c r="E10" s="35" t="s">
        <v>15</v>
      </c>
      <c r="F10" s="35"/>
      <c r="G10" s="35"/>
      <c r="H10" s="35"/>
      <c r="I10" s="35"/>
    </row>
    <row r="11" spans="2:9" ht="55.95" customHeight="1" x14ac:dyDescent="0.3">
      <c r="B11" s="4" t="s">
        <v>16</v>
      </c>
      <c r="C11" s="5" t="s">
        <v>17</v>
      </c>
      <c r="D11" s="5" t="s">
        <v>18</v>
      </c>
      <c r="E11" s="36" t="s">
        <v>19</v>
      </c>
      <c r="F11" s="36"/>
      <c r="G11" s="36"/>
      <c r="H11" s="36"/>
      <c r="I11" s="36"/>
    </row>
    <row r="12" spans="2:9" ht="55.95" customHeight="1" x14ac:dyDescent="0.3">
      <c r="B12" s="6" t="s">
        <v>20</v>
      </c>
      <c r="C12" s="7" t="s">
        <v>21</v>
      </c>
      <c r="D12" s="7" t="s">
        <v>22</v>
      </c>
      <c r="E12" s="37" t="s">
        <v>23</v>
      </c>
      <c r="F12" s="37"/>
      <c r="G12" s="37"/>
      <c r="H12" s="37"/>
      <c r="I12" s="37"/>
    </row>
    <row r="13" spans="2:9" ht="55.95" customHeight="1" x14ac:dyDescent="0.3">
      <c r="B13" s="4" t="s">
        <v>24</v>
      </c>
      <c r="C13" s="5" t="s">
        <v>25</v>
      </c>
      <c r="D13" s="5" t="s">
        <v>26</v>
      </c>
      <c r="E13" s="36" t="s">
        <v>27</v>
      </c>
      <c r="F13" s="36"/>
      <c r="G13" s="36"/>
      <c r="H13" s="36"/>
      <c r="I13" s="36"/>
    </row>
    <row r="14" spans="2:9" ht="55.95" customHeight="1" x14ac:dyDescent="0.3">
      <c r="B14" s="6" t="s">
        <v>28</v>
      </c>
      <c r="C14" s="7" t="s">
        <v>29</v>
      </c>
      <c r="D14" s="7" t="s">
        <v>30</v>
      </c>
      <c r="E14" s="37" t="s">
        <v>31</v>
      </c>
      <c r="F14" s="37"/>
      <c r="G14" s="37"/>
      <c r="H14" s="37"/>
      <c r="I14" s="37"/>
    </row>
    <row r="17" spans="2:9" ht="28.05" customHeight="1" x14ac:dyDescent="0.35">
      <c r="B17" s="34" t="s">
        <v>32</v>
      </c>
      <c r="C17" s="34"/>
      <c r="D17" s="34"/>
      <c r="E17" s="34"/>
      <c r="F17" s="34"/>
      <c r="G17" s="34"/>
      <c r="H17" s="34"/>
      <c r="I17" s="34"/>
    </row>
    <row r="18" spans="2:9" ht="34.049999999999997" customHeight="1" x14ac:dyDescent="0.3">
      <c r="B18" s="1" t="s">
        <v>33</v>
      </c>
      <c r="C18" s="1" t="s">
        <v>34</v>
      </c>
      <c r="D18" s="1" t="s">
        <v>35</v>
      </c>
      <c r="E18" s="1" t="s">
        <v>36</v>
      </c>
      <c r="F18" s="1" t="s">
        <v>37</v>
      </c>
      <c r="G18" s="1" t="s">
        <v>38</v>
      </c>
      <c r="H18" s="1" t="s">
        <v>39</v>
      </c>
      <c r="I18" s="1" t="s">
        <v>40</v>
      </c>
    </row>
    <row r="19" spans="2:9" ht="30" customHeight="1" x14ac:dyDescent="0.3">
      <c r="B19" s="8" t="s">
        <v>41</v>
      </c>
      <c r="C19" s="9">
        <f>COUNTIF('Normal Proposals'!$J$7:$J$26,"Approve")</f>
        <v>0</v>
      </c>
      <c r="D19" s="9">
        <f>COUNTIF('Normal Proposals'!$J$7:$J$26,"Revise")</f>
        <v>0</v>
      </c>
      <c r="E19" s="9">
        <f>COUNTIF('Normal Proposals'!$J$7:$J$26,"Reject")</f>
        <v>0</v>
      </c>
      <c r="F19" s="9">
        <f>COUNTIF('Normal Proposals'!$J$7:$J$26,"Pending")</f>
        <v>20</v>
      </c>
      <c r="G19" s="9">
        <v>20</v>
      </c>
      <c r="H19" s="10">
        <f>IFERROR((C19+D19+E19)/G19,0)</f>
        <v>0</v>
      </c>
      <c r="I19" s="11" t="str">
        <f>IF(F19=0,"Complete","Decision required")</f>
        <v>Decision required</v>
      </c>
    </row>
    <row r="20" spans="2:9" ht="30" customHeight="1" x14ac:dyDescent="0.3">
      <c r="B20" s="12" t="s">
        <v>42</v>
      </c>
      <c r="C20" s="13">
        <f>COUNTIF('School Proposals'!$J$7:$J$26,"Approve")</f>
        <v>0</v>
      </c>
      <c r="D20" s="13">
        <f>COUNTIF('School Proposals'!$J$7:$J$26,"Revise")</f>
        <v>0</v>
      </c>
      <c r="E20" s="13">
        <f>COUNTIF('School Proposals'!$J$7:$J$26,"Reject")</f>
        <v>0</v>
      </c>
      <c r="F20" s="13">
        <f>COUNTIF('School Proposals'!$J$7:$J$26,"Pending")</f>
        <v>20</v>
      </c>
      <c r="G20" s="13">
        <v>20</v>
      </c>
      <c r="H20" s="14">
        <f>IFERROR((C20+D20+E20)/G20,0)</f>
        <v>0</v>
      </c>
      <c r="I20" s="15" t="str">
        <f>IF(F20=0,"Complete","Decision required")</f>
        <v>Decision required</v>
      </c>
    </row>
    <row r="21" spans="2:9" ht="30" customHeight="1" x14ac:dyDescent="0.3">
      <c r="B21" s="8" t="s">
        <v>43</v>
      </c>
      <c r="C21" s="9">
        <f>COUNTIF('Emergency Hazards'!$G$7:$G$12,"Approve")</f>
        <v>0</v>
      </c>
      <c r="D21" s="9">
        <f>COUNTIF('Emergency Hazards'!$G$7:$G$12,"Revise")</f>
        <v>0</v>
      </c>
      <c r="E21" s="9">
        <f>COUNTIF('Emergency Hazards'!$G$7:$G$12,"Reject")</f>
        <v>0</v>
      </c>
      <c r="F21" s="9">
        <f>COUNTIF('Emergency Hazards'!$G$7:$G$12,"Pending")</f>
        <v>6</v>
      </c>
      <c r="G21" s="9">
        <v>6</v>
      </c>
      <c r="H21" s="10">
        <f>IFERROR((C21+D21+E21)/G21,0)</f>
        <v>0</v>
      </c>
      <c r="I21" s="11" t="str">
        <f>IF(F21=0,"Complete","Decision required")</f>
        <v>Decision required</v>
      </c>
    </row>
  </sheetData>
  <mergeCells count="10">
    <mergeCell ref="E11:I11"/>
    <mergeCell ref="E12:I12"/>
    <mergeCell ref="E13:I13"/>
    <mergeCell ref="E14:I14"/>
    <mergeCell ref="B17:I17"/>
    <mergeCell ref="B2:I2"/>
    <mergeCell ref="B3:I3"/>
    <mergeCell ref="B4:I4"/>
    <mergeCell ref="B9:I9"/>
    <mergeCell ref="E10:I10"/>
  </mergeCells>
  <pageMargins left="0.25" right="0.25" top="0.4" bottom="0.4" header="0.2" footer="0.2"/>
  <pageSetup fitToHeight="0" orientation="landscape"/>
  <headerFooter>
    <oddFooter>SmartCross decision workbook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7BA0"/>
    <pageSetUpPr fitToPage="1"/>
  </sheetPr>
  <dimension ref="B2:L26"/>
  <sheetViews>
    <sheetView showGridLines="0" tabSelected="1" workbookViewId="0">
      <pane xSplit="2" ySplit="6" topLeftCell="C7" activePane="bottomRight" state="frozen"/>
      <selection activeCell="J4" sqref="J4"/>
      <selection pane="topRight" activeCell="J4" sqref="J4"/>
      <selection pane="bottomLeft" activeCell="J4" sqref="J4"/>
      <selection pane="bottomRight" activeCell="J4" sqref="J4"/>
    </sheetView>
  </sheetViews>
  <sheetFormatPr defaultRowHeight="14.4" x14ac:dyDescent="0.3"/>
  <cols>
    <col min="2" max="2" width="8" customWidth="1"/>
    <col min="3" max="3" width="34" customWidth="1"/>
    <col min="4" max="4" width="38" customWidth="1"/>
    <col min="5" max="5" width="18" customWidth="1"/>
    <col min="6" max="6" width="24" customWidth="1"/>
    <col min="7" max="7" width="46" customWidth="1"/>
    <col min="8" max="8" width="14" customWidth="1"/>
    <col min="9" max="9" width="12" customWidth="1"/>
    <col min="10" max="10" width="13" customWidth="1"/>
    <col min="11" max="11" width="34" customWidth="1"/>
    <col min="12" max="12" width="13" customWidth="1"/>
  </cols>
  <sheetData>
    <row r="2" spans="2:12" ht="34.049999999999997" customHeight="1" x14ac:dyDescent="0.3">
      <c r="B2" s="31" t="s">
        <v>44</v>
      </c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2:12" ht="30" customHeight="1" x14ac:dyDescent="0.3">
      <c r="B3" s="32" t="s">
        <v>45</v>
      </c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2:12" ht="28.05" customHeight="1" x14ac:dyDescent="0.3">
      <c r="B4" s="33" t="s">
        <v>46</v>
      </c>
      <c r="C4" s="33"/>
      <c r="D4" s="33"/>
      <c r="E4" s="33"/>
      <c r="F4" s="33"/>
      <c r="G4" s="33"/>
      <c r="H4" s="33"/>
      <c r="I4" s="33"/>
      <c r="J4" s="33"/>
      <c r="K4" s="33"/>
      <c r="L4" s="33"/>
    </row>
    <row r="6" spans="2:12" ht="34.049999999999997" customHeight="1" x14ac:dyDescent="0.3"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55</v>
      </c>
      <c r="K6" s="1" t="s">
        <v>56</v>
      </c>
      <c r="L6" s="1" t="s">
        <v>57</v>
      </c>
    </row>
    <row r="7" spans="2:12" ht="72" customHeight="1" x14ac:dyDescent="0.3">
      <c r="B7" s="16" t="s">
        <v>58</v>
      </c>
      <c r="C7" s="5" t="s">
        <v>59</v>
      </c>
      <c r="D7" s="5" t="s">
        <v>60</v>
      </c>
      <c r="E7" s="5" t="s">
        <v>61</v>
      </c>
      <c r="F7" s="5" t="s">
        <v>62</v>
      </c>
      <c r="G7" s="5" t="s">
        <v>63</v>
      </c>
      <c r="H7" s="5" t="s">
        <v>64</v>
      </c>
      <c r="I7" s="17" t="s">
        <v>65</v>
      </c>
      <c r="J7" s="18" t="s">
        <v>37</v>
      </c>
      <c r="K7" s="19" t="s">
        <v>66</v>
      </c>
      <c r="L7" s="17" t="str">
        <f t="shared" ref="L7:L26" si="0">IF(J7="Approve","Include",IF(J7="Reject","Exclude",IF(J7="Revise","Revise","Pending")))</f>
        <v>Pending</v>
      </c>
    </row>
    <row r="8" spans="2:12" ht="72" customHeight="1" x14ac:dyDescent="0.3">
      <c r="B8" s="20" t="s">
        <v>67</v>
      </c>
      <c r="C8" s="7" t="s">
        <v>68</v>
      </c>
      <c r="D8" s="7" t="s">
        <v>69</v>
      </c>
      <c r="E8" s="7" t="s">
        <v>61</v>
      </c>
      <c r="F8" s="7" t="s">
        <v>70</v>
      </c>
      <c r="G8" s="7" t="s">
        <v>71</v>
      </c>
      <c r="H8" s="7" t="s">
        <v>64</v>
      </c>
      <c r="I8" s="21" t="s">
        <v>65</v>
      </c>
      <c r="J8" s="18" t="s">
        <v>37</v>
      </c>
      <c r="K8" s="19" t="s">
        <v>66</v>
      </c>
      <c r="L8" s="21" t="str">
        <f t="shared" si="0"/>
        <v>Pending</v>
      </c>
    </row>
    <row r="9" spans="2:12" ht="72" customHeight="1" x14ac:dyDescent="0.3">
      <c r="B9" s="16" t="s">
        <v>72</v>
      </c>
      <c r="C9" s="5" t="s">
        <v>73</v>
      </c>
      <c r="D9" s="5" t="s">
        <v>74</v>
      </c>
      <c r="E9" s="5" t="s">
        <v>61</v>
      </c>
      <c r="F9" s="5" t="s">
        <v>70</v>
      </c>
      <c r="G9" s="5" t="s">
        <v>75</v>
      </c>
      <c r="H9" s="5" t="s">
        <v>64</v>
      </c>
      <c r="I9" s="17" t="s">
        <v>65</v>
      </c>
      <c r="J9" s="18" t="s">
        <v>37</v>
      </c>
      <c r="K9" s="19" t="s">
        <v>66</v>
      </c>
      <c r="L9" s="17" t="str">
        <f t="shared" si="0"/>
        <v>Pending</v>
      </c>
    </row>
    <row r="10" spans="2:12" ht="72" customHeight="1" x14ac:dyDescent="0.3">
      <c r="B10" s="20" t="s">
        <v>76</v>
      </c>
      <c r="C10" s="7" t="s">
        <v>77</v>
      </c>
      <c r="D10" s="7" t="s">
        <v>78</v>
      </c>
      <c r="E10" s="7" t="s">
        <v>61</v>
      </c>
      <c r="F10" s="7" t="s">
        <v>79</v>
      </c>
      <c r="G10" s="7" t="s">
        <v>80</v>
      </c>
      <c r="H10" s="7" t="s">
        <v>64</v>
      </c>
      <c r="I10" s="21" t="s">
        <v>81</v>
      </c>
      <c r="J10" s="18" t="s">
        <v>37</v>
      </c>
      <c r="K10" s="19" t="s">
        <v>66</v>
      </c>
      <c r="L10" s="21" t="str">
        <f t="shared" si="0"/>
        <v>Pending</v>
      </c>
    </row>
    <row r="11" spans="2:12" ht="72" customHeight="1" x14ac:dyDescent="0.3">
      <c r="B11" s="16" t="s">
        <v>82</v>
      </c>
      <c r="C11" s="5" t="s">
        <v>83</v>
      </c>
      <c r="D11" s="5" t="s">
        <v>84</v>
      </c>
      <c r="E11" s="5" t="s">
        <v>61</v>
      </c>
      <c r="F11" s="5" t="s">
        <v>85</v>
      </c>
      <c r="G11" s="5" t="s">
        <v>86</v>
      </c>
      <c r="H11" s="5" t="s">
        <v>64</v>
      </c>
      <c r="I11" s="17" t="s">
        <v>65</v>
      </c>
      <c r="J11" s="18" t="s">
        <v>37</v>
      </c>
      <c r="K11" s="19" t="s">
        <v>66</v>
      </c>
      <c r="L11" s="17" t="str">
        <f t="shared" si="0"/>
        <v>Pending</v>
      </c>
    </row>
    <row r="12" spans="2:12" ht="72" customHeight="1" x14ac:dyDescent="0.3">
      <c r="B12" s="20" t="s">
        <v>87</v>
      </c>
      <c r="C12" s="7" t="s">
        <v>88</v>
      </c>
      <c r="D12" s="7" t="s">
        <v>89</v>
      </c>
      <c r="E12" s="7" t="s">
        <v>61</v>
      </c>
      <c r="F12" s="7" t="s">
        <v>90</v>
      </c>
      <c r="G12" s="7" t="s">
        <v>91</v>
      </c>
      <c r="H12" s="7" t="s">
        <v>64</v>
      </c>
      <c r="I12" s="21" t="s">
        <v>65</v>
      </c>
      <c r="J12" s="18" t="s">
        <v>37</v>
      </c>
      <c r="K12" s="19" t="s">
        <v>66</v>
      </c>
      <c r="L12" s="21" t="str">
        <f t="shared" si="0"/>
        <v>Pending</v>
      </c>
    </row>
    <row r="13" spans="2:12" ht="72" customHeight="1" x14ac:dyDescent="0.3">
      <c r="B13" s="16" t="s">
        <v>92</v>
      </c>
      <c r="C13" s="5" t="s">
        <v>93</v>
      </c>
      <c r="D13" s="5" t="s">
        <v>94</v>
      </c>
      <c r="E13" s="5" t="s">
        <v>95</v>
      </c>
      <c r="F13" s="5" t="s">
        <v>85</v>
      </c>
      <c r="G13" s="5" t="s">
        <v>96</v>
      </c>
      <c r="H13" s="5" t="s">
        <v>64</v>
      </c>
      <c r="I13" s="17" t="s">
        <v>65</v>
      </c>
      <c r="J13" s="18" t="s">
        <v>37</v>
      </c>
      <c r="K13" s="19" t="s">
        <v>66</v>
      </c>
      <c r="L13" s="17" t="str">
        <f t="shared" si="0"/>
        <v>Pending</v>
      </c>
    </row>
    <row r="14" spans="2:12" ht="72" customHeight="1" x14ac:dyDescent="0.3">
      <c r="B14" s="20" t="s">
        <v>97</v>
      </c>
      <c r="C14" s="7" t="s">
        <v>98</v>
      </c>
      <c r="D14" s="7" t="s">
        <v>99</v>
      </c>
      <c r="E14" s="7" t="s">
        <v>100</v>
      </c>
      <c r="F14" s="7" t="s">
        <v>85</v>
      </c>
      <c r="G14" s="7" t="s">
        <v>101</v>
      </c>
      <c r="H14" s="7" t="s">
        <v>64</v>
      </c>
      <c r="I14" s="21" t="s">
        <v>65</v>
      </c>
      <c r="J14" s="18" t="s">
        <v>37</v>
      </c>
      <c r="K14" s="19" t="s">
        <v>66</v>
      </c>
      <c r="L14" s="21" t="str">
        <f t="shared" si="0"/>
        <v>Pending</v>
      </c>
    </row>
    <row r="15" spans="2:12" ht="72" customHeight="1" x14ac:dyDescent="0.3">
      <c r="B15" s="16" t="s">
        <v>102</v>
      </c>
      <c r="C15" s="5" t="s">
        <v>103</v>
      </c>
      <c r="D15" s="5" t="s">
        <v>104</v>
      </c>
      <c r="E15" s="5" t="s">
        <v>100</v>
      </c>
      <c r="F15" s="5" t="s">
        <v>105</v>
      </c>
      <c r="G15" s="5" t="s">
        <v>106</v>
      </c>
      <c r="H15" s="5" t="s">
        <v>64</v>
      </c>
      <c r="I15" s="17" t="s">
        <v>65</v>
      </c>
      <c r="J15" s="18" t="s">
        <v>37</v>
      </c>
      <c r="K15" s="19" t="s">
        <v>66</v>
      </c>
      <c r="L15" s="17" t="str">
        <f t="shared" si="0"/>
        <v>Pending</v>
      </c>
    </row>
    <row r="16" spans="2:12" ht="72" customHeight="1" x14ac:dyDescent="0.3">
      <c r="B16" s="20" t="s">
        <v>107</v>
      </c>
      <c r="C16" s="7" t="s">
        <v>108</v>
      </c>
      <c r="D16" s="7" t="s">
        <v>109</v>
      </c>
      <c r="E16" s="7" t="s">
        <v>61</v>
      </c>
      <c r="F16" s="7" t="s">
        <v>70</v>
      </c>
      <c r="G16" s="7" t="s">
        <v>110</v>
      </c>
      <c r="H16" s="7" t="s">
        <v>64</v>
      </c>
      <c r="I16" s="21" t="s">
        <v>65</v>
      </c>
      <c r="J16" s="18" t="s">
        <v>37</v>
      </c>
      <c r="K16" s="19" t="s">
        <v>66</v>
      </c>
      <c r="L16" s="21" t="str">
        <f t="shared" si="0"/>
        <v>Pending</v>
      </c>
    </row>
    <row r="17" spans="2:12" ht="72" customHeight="1" x14ac:dyDescent="0.3">
      <c r="B17" s="16" t="s">
        <v>111</v>
      </c>
      <c r="C17" s="5" t="s">
        <v>112</v>
      </c>
      <c r="D17" s="5" t="s">
        <v>113</v>
      </c>
      <c r="E17" s="5" t="s">
        <v>61</v>
      </c>
      <c r="F17" s="5" t="s">
        <v>85</v>
      </c>
      <c r="G17" s="5" t="s">
        <v>114</v>
      </c>
      <c r="H17" s="5" t="s">
        <v>64</v>
      </c>
      <c r="I17" s="17" t="s">
        <v>65</v>
      </c>
      <c r="J17" s="18" t="s">
        <v>37</v>
      </c>
      <c r="K17" s="19" t="s">
        <v>66</v>
      </c>
      <c r="L17" s="17" t="str">
        <f t="shared" si="0"/>
        <v>Pending</v>
      </c>
    </row>
    <row r="18" spans="2:12" ht="72" customHeight="1" x14ac:dyDescent="0.3">
      <c r="B18" s="20" t="s">
        <v>115</v>
      </c>
      <c r="C18" s="7" t="s">
        <v>116</v>
      </c>
      <c r="D18" s="7" t="s">
        <v>117</v>
      </c>
      <c r="E18" s="7" t="s">
        <v>61</v>
      </c>
      <c r="F18" s="7" t="s">
        <v>79</v>
      </c>
      <c r="G18" s="7" t="s">
        <v>118</v>
      </c>
      <c r="H18" s="7" t="s">
        <v>64</v>
      </c>
      <c r="I18" s="21" t="s">
        <v>81</v>
      </c>
      <c r="J18" s="18" t="s">
        <v>37</v>
      </c>
      <c r="K18" s="19" t="s">
        <v>66</v>
      </c>
      <c r="L18" s="21" t="str">
        <f t="shared" si="0"/>
        <v>Pending</v>
      </c>
    </row>
    <row r="19" spans="2:12" ht="72" customHeight="1" x14ac:dyDescent="0.3">
      <c r="B19" s="16" t="s">
        <v>119</v>
      </c>
      <c r="C19" s="5" t="s">
        <v>120</v>
      </c>
      <c r="D19" s="5" t="s">
        <v>121</v>
      </c>
      <c r="E19" s="5" t="s">
        <v>122</v>
      </c>
      <c r="F19" s="5" t="s">
        <v>79</v>
      </c>
      <c r="G19" s="5" t="s">
        <v>123</v>
      </c>
      <c r="H19" s="5" t="s">
        <v>64</v>
      </c>
      <c r="I19" s="17" t="s">
        <v>65</v>
      </c>
      <c r="J19" s="18" t="s">
        <v>37</v>
      </c>
      <c r="K19" s="19" t="s">
        <v>66</v>
      </c>
      <c r="L19" s="17" t="str">
        <f t="shared" si="0"/>
        <v>Pending</v>
      </c>
    </row>
    <row r="20" spans="2:12" ht="72" customHeight="1" x14ac:dyDescent="0.3">
      <c r="B20" s="20" t="s">
        <v>124</v>
      </c>
      <c r="C20" s="7" t="s">
        <v>125</v>
      </c>
      <c r="D20" s="7" t="s">
        <v>126</v>
      </c>
      <c r="E20" s="7" t="s">
        <v>95</v>
      </c>
      <c r="F20" s="7" t="s">
        <v>85</v>
      </c>
      <c r="G20" s="7" t="s">
        <v>127</v>
      </c>
      <c r="H20" s="7" t="s">
        <v>64</v>
      </c>
      <c r="I20" s="21" t="s">
        <v>65</v>
      </c>
      <c r="J20" s="18" t="s">
        <v>37</v>
      </c>
      <c r="K20" s="19" t="s">
        <v>66</v>
      </c>
      <c r="L20" s="21" t="str">
        <f t="shared" si="0"/>
        <v>Pending</v>
      </c>
    </row>
    <row r="21" spans="2:12" ht="72" customHeight="1" x14ac:dyDescent="0.3">
      <c r="B21" s="16" t="s">
        <v>128</v>
      </c>
      <c r="C21" s="5" t="s">
        <v>129</v>
      </c>
      <c r="D21" s="5" t="s">
        <v>130</v>
      </c>
      <c r="E21" s="5" t="s">
        <v>61</v>
      </c>
      <c r="F21" s="5" t="s">
        <v>85</v>
      </c>
      <c r="G21" s="5" t="s">
        <v>131</v>
      </c>
      <c r="H21" s="5" t="s">
        <v>64</v>
      </c>
      <c r="I21" s="17" t="s">
        <v>65</v>
      </c>
      <c r="J21" s="18" t="s">
        <v>37</v>
      </c>
      <c r="K21" s="19" t="s">
        <v>66</v>
      </c>
      <c r="L21" s="17" t="str">
        <f t="shared" si="0"/>
        <v>Pending</v>
      </c>
    </row>
    <row r="22" spans="2:12" ht="72" customHeight="1" x14ac:dyDescent="0.3">
      <c r="B22" s="20" t="s">
        <v>132</v>
      </c>
      <c r="C22" s="7" t="s">
        <v>133</v>
      </c>
      <c r="D22" s="7" t="s">
        <v>134</v>
      </c>
      <c r="E22" s="7" t="s">
        <v>122</v>
      </c>
      <c r="F22" s="7" t="s">
        <v>85</v>
      </c>
      <c r="G22" s="7" t="s">
        <v>135</v>
      </c>
      <c r="H22" s="7" t="s">
        <v>64</v>
      </c>
      <c r="I22" s="21" t="s">
        <v>65</v>
      </c>
      <c r="J22" s="18" t="s">
        <v>37</v>
      </c>
      <c r="K22" s="19" t="s">
        <v>66</v>
      </c>
      <c r="L22" s="21" t="str">
        <f t="shared" si="0"/>
        <v>Pending</v>
      </c>
    </row>
    <row r="23" spans="2:12" ht="72" customHeight="1" x14ac:dyDescent="0.3">
      <c r="B23" s="16" t="s">
        <v>136</v>
      </c>
      <c r="C23" s="5" t="s">
        <v>137</v>
      </c>
      <c r="D23" s="5" t="s">
        <v>138</v>
      </c>
      <c r="E23" s="5" t="s">
        <v>61</v>
      </c>
      <c r="F23" s="5" t="s">
        <v>139</v>
      </c>
      <c r="G23" s="5" t="s">
        <v>140</v>
      </c>
      <c r="H23" s="5" t="s">
        <v>64</v>
      </c>
      <c r="I23" s="17" t="s">
        <v>65</v>
      </c>
      <c r="J23" s="18" t="s">
        <v>37</v>
      </c>
      <c r="K23" s="19" t="s">
        <v>66</v>
      </c>
      <c r="L23" s="17" t="str">
        <f t="shared" si="0"/>
        <v>Pending</v>
      </c>
    </row>
    <row r="24" spans="2:12" ht="72" customHeight="1" x14ac:dyDescent="0.3">
      <c r="B24" s="20" t="s">
        <v>141</v>
      </c>
      <c r="C24" s="7" t="s">
        <v>142</v>
      </c>
      <c r="D24" s="7" t="s">
        <v>143</v>
      </c>
      <c r="E24" s="7" t="s">
        <v>61</v>
      </c>
      <c r="F24" s="7" t="s">
        <v>79</v>
      </c>
      <c r="G24" s="7" t="s">
        <v>144</v>
      </c>
      <c r="H24" s="7" t="s">
        <v>64</v>
      </c>
      <c r="I24" s="21" t="s">
        <v>81</v>
      </c>
      <c r="J24" s="18" t="s">
        <v>37</v>
      </c>
      <c r="K24" s="19" t="s">
        <v>66</v>
      </c>
      <c r="L24" s="21" t="str">
        <f t="shared" si="0"/>
        <v>Pending</v>
      </c>
    </row>
    <row r="25" spans="2:12" ht="72" customHeight="1" x14ac:dyDescent="0.3">
      <c r="B25" s="16" t="s">
        <v>145</v>
      </c>
      <c r="C25" s="5" t="s">
        <v>146</v>
      </c>
      <c r="D25" s="5" t="s">
        <v>147</v>
      </c>
      <c r="E25" s="5" t="s">
        <v>122</v>
      </c>
      <c r="F25" s="5" t="s">
        <v>85</v>
      </c>
      <c r="G25" s="5" t="s">
        <v>148</v>
      </c>
      <c r="H25" s="5" t="s">
        <v>64</v>
      </c>
      <c r="I25" s="17" t="s">
        <v>65</v>
      </c>
      <c r="J25" s="18" t="s">
        <v>37</v>
      </c>
      <c r="K25" s="19" t="s">
        <v>66</v>
      </c>
      <c r="L25" s="17" t="str">
        <f t="shared" si="0"/>
        <v>Pending</v>
      </c>
    </row>
    <row r="26" spans="2:12" ht="72" customHeight="1" x14ac:dyDescent="0.3">
      <c r="B26" s="20" t="s">
        <v>149</v>
      </c>
      <c r="C26" s="7" t="s">
        <v>150</v>
      </c>
      <c r="D26" s="7" t="s">
        <v>151</v>
      </c>
      <c r="E26" s="7" t="s">
        <v>122</v>
      </c>
      <c r="F26" s="7" t="s">
        <v>105</v>
      </c>
      <c r="G26" s="7" t="s">
        <v>152</v>
      </c>
      <c r="H26" s="7" t="s">
        <v>64</v>
      </c>
      <c r="I26" s="21" t="s">
        <v>65</v>
      </c>
      <c r="J26" s="18" t="s">
        <v>37</v>
      </c>
      <c r="K26" s="19" t="s">
        <v>66</v>
      </c>
      <c r="L26" s="21" t="str">
        <f t="shared" si="0"/>
        <v>Pending</v>
      </c>
    </row>
  </sheetData>
  <autoFilter ref="B6:L26" xr:uid="{00000000-0009-0000-0000-000001000000}"/>
  <mergeCells count="3">
    <mergeCell ref="B2:L2"/>
    <mergeCell ref="B3:L3"/>
    <mergeCell ref="B4:L4"/>
  </mergeCells>
  <dataValidations count="1">
    <dataValidation type="list" showErrorMessage="1" errorTitle="Choose a listed decision" error="Select Pending, Approve, Revise or Reject." sqref="J7:J26" xr:uid="{00000000-0002-0000-0100-000000000000}">
      <formula1>"Pending,Approve,Revise,Reject"</formula1>
    </dataValidation>
  </dataValidations>
  <pageMargins left="0.25" right="0.25" top="0.4" bottom="0.4" header="0.2" footer="0.2"/>
  <pageSetup fitToHeight="0" orientation="landscape"/>
  <headerFooter>
    <oddFooter>SmartCross decision workbook |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5A400"/>
    <pageSetUpPr fitToPage="1"/>
  </sheetPr>
  <dimension ref="B2:L26"/>
  <sheetViews>
    <sheetView showGridLines="0" tabSelected="1" workbookViewId="0">
      <pane xSplit="2" ySplit="6" topLeftCell="C7" activePane="bottomRight" state="frozen"/>
      <selection activeCell="J4" sqref="J4"/>
      <selection pane="topRight" activeCell="J4" sqref="J4"/>
      <selection pane="bottomLeft" activeCell="J4" sqref="J4"/>
      <selection pane="bottomRight" activeCell="J4" sqref="J4"/>
    </sheetView>
  </sheetViews>
  <sheetFormatPr defaultRowHeight="14.4" x14ac:dyDescent="0.3"/>
  <cols>
    <col min="2" max="2" width="8" customWidth="1"/>
    <col min="3" max="3" width="34" customWidth="1"/>
    <col min="4" max="4" width="38" customWidth="1"/>
    <col min="5" max="5" width="18" customWidth="1"/>
    <col min="6" max="6" width="24" customWidth="1"/>
    <col min="7" max="7" width="46" customWidth="1"/>
    <col min="8" max="8" width="14" customWidth="1"/>
    <col min="9" max="9" width="12" customWidth="1"/>
    <col min="10" max="10" width="13" customWidth="1"/>
    <col min="11" max="11" width="34" customWidth="1"/>
    <col min="12" max="12" width="13" customWidth="1"/>
  </cols>
  <sheetData>
    <row r="2" spans="2:12" ht="34.049999999999997" customHeight="1" x14ac:dyDescent="0.3">
      <c r="B2" s="31" t="s">
        <v>153</v>
      </c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2:12" ht="30" customHeight="1" x14ac:dyDescent="0.3">
      <c r="B3" s="32" t="s">
        <v>154</v>
      </c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2:12" ht="28.05" customHeight="1" x14ac:dyDescent="0.3">
      <c r="B4" s="33" t="s">
        <v>46</v>
      </c>
      <c r="C4" s="33"/>
      <c r="D4" s="33"/>
      <c r="E4" s="33"/>
      <c r="F4" s="33"/>
      <c r="G4" s="33"/>
      <c r="H4" s="33"/>
      <c r="I4" s="33"/>
      <c r="J4" s="33"/>
      <c r="K4" s="33"/>
      <c r="L4" s="33"/>
    </row>
    <row r="6" spans="2:12" ht="34.049999999999997" customHeight="1" x14ac:dyDescent="0.3"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55</v>
      </c>
      <c r="K6" s="1" t="s">
        <v>56</v>
      </c>
      <c r="L6" s="1" t="s">
        <v>57</v>
      </c>
    </row>
    <row r="7" spans="2:12" ht="72" customHeight="1" x14ac:dyDescent="0.3">
      <c r="B7" s="16" t="s">
        <v>155</v>
      </c>
      <c r="C7" s="5" t="s">
        <v>156</v>
      </c>
      <c r="D7" s="5" t="s">
        <v>157</v>
      </c>
      <c r="E7" s="5" t="s">
        <v>61</v>
      </c>
      <c r="F7" s="5" t="s">
        <v>158</v>
      </c>
      <c r="G7" s="5" t="s">
        <v>159</v>
      </c>
      <c r="H7" s="5" t="s">
        <v>64</v>
      </c>
      <c r="I7" s="17" t="s">
        <v>65</v>
      </c>
      <c r="J7" s="18" t="s">
        <v>37</v>
      </c>
      <c r="K7" s="19" t="s">
        <v>66</v>
      </c>
      <c r="L7" s="17" t="str">
        <f t="shared" ref="L7:L26" si="0">IF(J7="Approve","Include",IF(J7="Reject","Exclude",IF(J7="Revise","Revise","Pending")))</f>
        <v>Pending</v>
      </c>
    </row>
    <row r="8" spans="2:12" ht="72" customHeight="1" x14ac:dyDescent="0.3">
      <c r="B8" s="20" t="s">
        <v>160</v>
      </c>
      <c r="C8" s="7" t="s">
        <v>161</v>
      </c>
      <c r="D8" s="7" t="s">
        <v>162</v>
      </c>
      <c r="E8" s="7" t="s">
        <v>61</v>
      </c>
      <c r="F8" s="7" t="s">
        <v>163</v>
      </c>
      <c r="G8" s="7" t="s">
        <v>164</v>
      </c>
      <c r="H8" s="7" t="s">
        <v>64</v>
      </c>
      <c r="I8" s="21" t="s">
        <v>65</v>
      </c>
      <c r="J8" s="18" t="s">
        <v>37</v>
      </c>
      <c r="K8" s="19" t="s">
        <v>66</v>
      </c>
      <c r="L8" s="21" t="str">
        <f t="shared" si="0"/>
        <v>Pending</v>
      </c>
    </row>
    <row r="9" spans="2:12" ht="72" customHeight="1" x14ac:dyDescent="0.3">
      <c r="B9" s="16" t="s">
        <v>165</v>
      </c>
      <c r="C9" s="5" t="s">
        <v>166</v>
      </c>
      <c r="D9" s="5" t="s">
        <v>167</v>
      </c>
      <c r="E9" s="5" t="s">
        <v>61</v>
      </c>
      <c r="F9" s="5" t="s">
        <v>158</v>
      </c>
      <c r="G9" s="5" t="s">
        <v>168</v>
      </c>
      <c r="H9" s="5" t="s">
        <v>64</v>
      </c>
      <c r="I9" s="17" t="s">
        <v>65</v>
      </c>
      <c r="J9" s="18" t="s">
        <v>37</v>
      </c>
      <c r="K9" s="19" t="s">
        <v>66</v>
      </c>
      <c r="L9" s="17" t="str">
        <f t="shared" si="0"/>
        <v>Pending</v>
      </c>
    </row>
    <row r="10" spans="2:12" ht="72" customHeight="1" x14ac:dyDescent="0.3">
      <c r="B10" s="20" t="s">
        <v>169</v>
      </c>
      <c r="C10" s="7" t="s">
        <v>170</v>
      </c>
      <c r="D10" s="7" t="s">
        <v>171</v>
      </c>
      <c r="E10" s="7" t="s">
        <v>61</v>
      </c>
      <c r="F10" s="7" t="s">
        <v>172</v>
      </c>
      <c r="G10" s="7" t="s">
        <v>173</v>
      </c>
      <c r="H10" s="7" t="s">
        <v>64</v>
      </c>
      <c r="I10" s="21" t="s">
        <v>81</v>
      </c>
      <c r="J10" s="18" t="s">
        <v>37</v>
      </c>
      <c r="K10" s="19" t="s">
        <v>66</v>
      </c>
      <c r="L10" s="21" t="str">
        <f t="shared" si="0"/>
        <v>Pending</v>
      </c>
    </row>
    <row r="11" spans="2:12" ht="72" customHeight="1" x14ac:dyDescent="0.3">
      <c r="B11" s="16" t="s">
        <v>174</v>
      </c>
      <c r="C11" s="5" t="s">
        <v>175</v>
      </c>
      <c r="D11" s="5" t="s">
        <v>176</v>
      </c>
      <c r="E11" s="5" t="s">
        <v>61</v>
      </c>
      <c r="F11" s="5" t="s">
        <v>158</v>
      </c>
      <c r="G11" s="5" t="s">
        <v>177</v>
      </c>
      <c r="H11" s="5" t="s">
        <v>64</v>
      </c>
      <c r="I11" s="17" t="s">
        <v>65</v>
      </c>
      <c r="J11" s="18" t="s">
        <v>37</v>
      </c>
      <c r="K11" s="19" t="s">
        <v>66</v>
      </c>
      <c r="L11" s="17" t="str">
        <f t="shared" si="0"/>
        <v>Pending</v>
      </c>
    </row>
    <row r="12" spans="2:12" ht="72" customHeight="1" x14ac:dyDescent="0.3">
      <c r="B12" s="20" t="s">
        <v>178</v>
      </c>
      <c r="C12" s="7" t="s">
        <v>179</v>
      </c>
      <c r="D12" s="7" t="s">
        <v>180</v>
      </c>
      <c r="E12" s="7" t="s">
        <v>61</v>
      </c>
      <c r="F12" s="7" t="s">
        <v>181</v>
      </c>
      <c r="G12" s="7" t="s">
        <v>182</v>
      </c>
      <c r="H12" s="7" t="s">
        <v>64</v>
      </c>
      <c r="I12" s="21" t="s">
        <v>65</v>
      </c>
      <c r="J12" s="18" t="s">
        <v>37</v>
      </c>
      <c r="K12" s="19" t="s">
        <v>66</v>
      </c>
      <c r="L12" s="21" t="str">
        <f t="shared" si="0"/>
        <v>Pending</v>
      </c>
    </row>
    <row r="13" spans="2:12" ht="72" customHeight="1" x14ac:dyDescent="0.3">
      <c r="B13" s="16" t="s">
        <v>183</v>
      </c>
      <c r="C13" s="5" t="s">
        <v>184</v>
      </c>
      <c r="D13" s="5" t="s">
        <v>185</v>
      </c>
      <c r="E13" s="5" t="s">
        <v>61</v>
      </c>
      <c r="F13" s="5" t="s">
        <v>186</v>
      </c>
      <c r="G13" s="5" t="s">
        <v>187</v>
      </c>
      <c r="H13" s="5" t="s">
        <v>64</v>
      </c>
      <c r="I13" s="17" t="s">
        <v>65</v>
      </c>
      <c r="J13" s="18" t="s">
        <v>37</v>
      </c>
      <c r="K13" s="19" t="s">
        <v>66</v>
      </c>
      <c r="L13" s="17" t="str">
        <f t="shared" si="0"/>
        <v>Pending</v>
      </c>
    </row>
    <row r="14" spans="2:12" ht="72" customHeight="1" x14ac:dyDescent="0.3">
      <c r="B14" s="20" t="s">
        <v>188</v>
      </c>
      <c r="C14" s="7" t="s">
        <v>189</v>
      </c>
      <c r="D14" s="7" t="s">
        <v>190</v>
      </c>
      <c r="E14" s="7" t="s">
        <v>95</v>
      </c>
      <c r="F14" s="7" t="s">
        <v>158</v>
      </c>
      <c r="G14" s="7" t="s">
        <v>191</v>
      </c>
      <c r="H14" s="7" t="s">
        <v>64</v>
      </c>
      <c r="I14" s="21" t="s">
        <v>65</v>
      </c>
      <c r="J14" s="18" t="s">
        <v>37</v>
      </c>
      <c r="K14" s="19" t="s">
        <v>66</v>
      </c>
      <c r="L14" s="21" t="str">
        <f t="shared" si="0"/>
        <v>Pending</v>
      </c>
    </row>
    <row r="15" spans="2:12" ht="72" customHeight="1" x14ac:dyDescent="0.3">
      <c r="B15" s="16" t="s">
        <v>192</v>
      </c>
      <c r="C15" s="5" t="s">
        <v>193</v>
      </c>
      <c r="D15" s="5" t="s">
        <v>194</v>
      </c>
      <c r="E15" s="5" t="s">
        <v>61</v>
      </c>
      <c r="F15" s="5" t="s">
        <v>195</v>
      </c>
      <c r="G15" s="5" t="s">
        <v>196</v>
      </c>
      <c r="H15" s="5" t="s">
        <v>64</v>
      </c>
      <c r="I15" s="17" t="s">
        <v>81</v>
      </c>
      <c r="J15" s="18" t="s">
        <v>37</v>
      </c>
      <c r="K15" s="19" t="s">
        <v>66</v>
      </c>
      <c r="L15" s="17" t="str">
        <f t="shared" si="0"/>
        <v>Pending</v>
      </c>
    </row>
    <row r="16" spans="2:12" ht="72" customHeight="1" x14ac:dyDescent="0.3">
      <c r="B16" s="20" t="s">
        <v>197</v>
      </c>
      <c r="C16" s="7" t="s">
        <v>198</v>
      </c>
      <c r="D16" s="7" t="s">
        <v>199</v>
      </c>
      <c r="E16" s="7" t="s">
        <v>61</v>
      </c>
      <c r="F16" s="7" t="s">
        <v>200</v>
      </c>
      <c r="G16" s="7" t="s">
        <v>201</v>
      </c>
      <c r="H16" s="7" t="s">
        <v>64</v>
      </c>
      <c r="I16" s="21" t="s">
        <v>65</v>
      </c>
      <c r="J16" s="18" t="s">
        <v>37</v>
      </c>
      <c r="K16" s="19" t="s">
        <v>66</v>
      </c>
      <c r="L16" s="21" t="str">
        <f t="shared" si="0"/>
        <v>Pending</v>
      </c>
    </row>
    <row r="17" spans="2:12" ht="72" customHeight="1" x14ac:dyDescent="0.3">
      <c r="B17" s="16" t="s">
        <v>202</v>
      </c>
      <c r="C17" s="5" t="s">
        <v>203</v>
      </c>
      <c r="D17" s="5" t="s">
        <v>204</v>
      </c>
      <c r="E17" s="5" t="s">
        <v>122</v>
      </c>
      <c r="F17" s="5" t="s">
        <v>158</v>
      </c>
      <c r="G17" s="5" t="s">
        <v>205</v>
      </c>
      <c r="H17" s="5" t="s">
        <v>64</v>
      </c>
      <c r="I17" s="17" t="s">
        <v>65</v>
      </c>
      <c r="J17" s="18" t="s">
        <v>37</v>
      </c>
      <c r="K17" s="19" t="s">
        <v>66</v>
      </c>
      <c r="L17" s="17" t="str">
        <f t="shared" si="0"/>
        <v>Pending</v>
      </c>
    </row>
    <row r="18" spans="2:12" ht="72" customHeight="1" x14ac:dyDescent="0.3">
      <c r="B18" s="20" t="s">
        <v>206</v>
      </c>
      <c r="C18" s="7" t="s">
        <v>207</v>
      </c>
      <c r="D18" s="7" t="s">
        <v>208</v>
      </c>
      <c r="E18" s="7" t="s">
        <v>122</v>
      </c>
      <c r="F18" s="7" t="s">
        <v>158</v>
      </c>
      <c r="G18" s="7" t="s">
        <v>209</v>
      </c>
      <c r="H18" s="7" t="s">
        <v>64</v>
      </c>
      <c r="I18" s="21" t="s">
        <v>65</v>
      </c>
      <c r="J18" s="18" t="s">
        <v>37</v>
      </c>
      <c r="K18" s="19" t="s">
        <v>66</v>
      </c>
      <c r="L18" s="21" t="str">
        <f t="shared" si="0"/>
        <v>Pending</v>
      </c>
    </row>
    <row r="19" spans="2:12" ht="72" customHeight="1" x14ac:dyDescent="0.3">
      <c r="B19" s="16" t="s">
        <v>210</v>
      </c>
      <c r="C19" s="5" t="s">
        <v>211</v>
      </c>
      <c r="D19" s="5" t="s">
        <v>212</v>
      </c>
      <c r="E19" s="5" t="s">
        <v>95</v>
      </c>
      <c r="F19" s="5" t="s">
        <v>213</v>
      </c>
      <c r="G19" s="5" t="s">
        <v>214</v>
      </c>
      <c r="H19" s="5" t="s">
        <v>64</v>
      </c>
      <c r="I19" s="17" t="s">
        <v>65</v>
      </c>
      <c r="J19" s="18" t="s">
        <v>37</v>
      </c>
      <c r="K19" s="19" t="s">
        <v>66</v>
      </c>
      <c r="L19" s="17" t="str">
        <f t="shared" si="0"/>
        <v>Pending</v>
      </c>
    </row>
    <row r="20" spans="2:12" ht="72" customHeight="1" x14ac:dyDescent="0.3">
      <c r="B20" s="20" t="s">
        <v>215</v>
      </c>
      <c r="C20" s="7" t="s">
        <v>216</v>
      </c>
      <c r="D20" s="7" t="s">
        <v>217</v>
      </c>
      <c r="E20" s="7" t="s">
        <v>61</v>
      </c>
      <c r="F20" s="7" t="s">
        <v>163</v>
      </c>
      <c r="G20" s="7" t="s">
        <v>218</v>
      </c>
      <c r="H20" s="7" t="s">
        <v>64</v>
      </c>
      <c r="I20" s="21" t="s">
        <v>65</v>
      </c>
      <c r="J20" s="18" t="s">
        <v>37</v>
      </c>
      <c r="K20" s="19" t="s">
        <v>66</v>
      </c>
      <c r="L20" s="21" t="str">
        <f t="shared" si="0"/>
        <v>Pending</v>
      </c>
    </row>
    <row r="21" spans="2:12" ht="72" customHeight="1" x14ac:dyDescent="0.3">
      <c r="B21" s="16" t="s">
        <v>219</v>
      </c>
      <c r="C21" s="5" t="s">
        <v>220</v>
      </c>
      <c r="D21" s="5" t="s">
        <v>221</v>
      </c>
      <c r="E21" s="5" t="s">
        <v>100</v>
      </c>
      <c r="F21" s="5" t="s">
        <v>158</v>
      </c>
      <c r="G21" s="5" t="s">
        <v>222</v>
      </c>
      <c r="H21" s="5" t="s">
        <v>64</v>
      </c>
      <c r="I21" s="17" t="s">
        <v>65</v>
      </c>
      <c r="J21" s="18" t="s">
        <v>37</v>
      </c>
      <c r="K21" s="19" t="s">
        <v>66</v>
      </c>
      <c r="L21" s="17" t="str">
        <f t="shared" si="0"/>
        <v>Pending</v>
      </c>
    </row>
    <row r="22" spans="2:12" ht="72" customHeight="1" x14ac:dyDescent="0.3">
      <c r="B22" s="20" t="s">
        <v>223</v>
      </c>
      <c r="C22" s="7" t="s">
        <v>224</v>
      </c>
      <c r="D22" s="7" t="s">
        <v>225</v>
      </c>
      <c r="E22" s="7" t="s">
        <v>100</v>
      </c>
      <c r="F22" s="7" t="s">
        <v>158</v>
      </c>
      <c r="G22" s="7" t="s">
        <v>226</v>
      </c>
      <c r="H22" s="7" t="s">
        <v>64</v>
      </c>
      <c r="I22" s="21" t="s">
        <v>65</v>
      </c>
      <c r="J22" s="18" t="s">
        <v>37</v>
      </c>
      <c r="K22" s="19" t="s">
        <v>66</v>
      </c>
      <c r="L22" s="21" t="str">
        <f t="shared" si="0"/>
        <v>Pending</v>
      </c>
    </row>
    <row r="23" spans="2:12" ht="72" customHeight="1" x14ac:dyDescent="0.3">
      <c r="B23" s="16" t="s">
        <v>227</v>
      </c>
      <c r="C23" s="5" t="s">
        <v>228</v>
      </c>
      <c r="D23" s="5" t="s">
        <v>229</v>
      </c>
      <c r="E23" s="5" t="s">
        <v>61</v>
      </c>
      <c r="F23" s="5" t="s">
        <v>230</v>
      </c>
      <c r="G23" s="5" t="s">
        <v>231</v>
      </c>
      <c r="H23" s="5" t="s">
        <v>64</v>
      </c>
      <c r="I23" s="17" t="s">
        <v>65</v>
      </c>
      <c r="J23" s="18" t="s">
        <v>37</v>
      </c>
      <c r="K23" s="19" t="s">
        <v>66</v>
      </c>
      <c r="L23" s="17" t="str">
        <f t="shared" si="0"/>
        <v>Pending</v>
      </c>
    </row>
    <row r="24" spans="2:12" ht="72" customHeight="1" x14ac:dyDescent="0.3">
      <c r="B24" s="20" t="s">
        <v>232</v>
      </c>
      <c r="C24" s="7" t="s">
        <v>233</v>
      </c>
      <c r="D24" s="7" t="s">
        <v>234</v>
      </c>
      <c r="E24" s="7" t="s">
        <v>61</v>
      </c>
      <c r="F24" s="7" t="s">
        <v>158</v>
      </c>
      <c r="G24" s="7" t="s">
        <v>235</v>
      </c>
      <c r="H24" s="7" t="s">
        <v>64</v>
      </c>
      <c r="I24" s="21" t="s">
        <v>65</v>
      </c>
      <c r="J24" s="18" t="s">
        <v>37</v>
      </c>
      <c r="K24" s="19" t="s">
        <v>66</v>
      </c>
      <c r="L24" s="21" t="str">
        <f t="shared" si="0"/>
        <v>Pending</v>
      </c>
    </row>
    <row r="25" spans="2:12" ht="72" customHeight="1" x14ac:dyDescent="0.3">
      <c r="B25" s="16" t="s">
        <v>236</v>
      </c>
      <c r="C25" s="5" t="s">
        <v>237</v>
      </c>
      <c r="D25" s="5" t="s">
        <v>238</v>
      </c>
      <c r="E25" s="5" t="s">
        <v>61</v>
      </c>
      <c r="F25" s="5" t="s">
        <v>163</v>
      </c>
      <c r="G25" s="5" t="s">
        <v>239</v>
      </c>
      <c r="H25" s="5" t="s">
        <v>64</v>
      </c>
      <c r="I25" s="17" t="s">
        <v>65</v>
      </c>
      <c r="J25" s="18" t="s">
        <v>37</v>
      </c>
      <c r="K25" s="19" t="s">
        <v>66</v>
      </c>
      <c r="L25" s="17" t="str">
        <f t="shared" si="0"/>
        <v>Pending</v>
      </c>
    </row>
    <row r="26" spans="2:12" ht="72" customHeight="1" x14ac:dyDescent="0.3">
      <c r="B26" s="20" t="s">
        <v>240</v>
      </c>
      <c r="C26" s="7" t="s">
        <v>241</v>
      </c>
      <c r="D26" s="7" t="s">
        <v>242</v>
      </c>
      <c r="E26" s="7" t="s">
        <v>61</v>
      </c>
      <c r="F26" s="7" t="s">
        <v>243</v>
      </c>
      <c r="G26" s="7" t="s">
        <v>244</v>
      </c>
      <c r="H26" s="7" t="s">
        <v>64</v>
      </c>
      <c r="I26" s="21" t="s">
        <v>65</v>
      </c>
      <c r="J26" s="18" t="s">
        <v>37</v>
      </c>
      <c r="K26" s="19" t="s">
        <v>66</v>
      </c>
      <c r="L26" s="21" t="str">
        <f t="shared" si="0"/>
        <v>Pending</v>
      </c>
    </row>
  </sheetData>
  <autoFilter ref="B6:L26" xr:uid="{00000000-0009-0000-0000-000002000000}"/>
  <mergeCells count="3">
    <mergeCell ref="B2:L2"/>
    <mergeCell ref="B3:L3"/>
    <mergeCell ref="B4:L4"/>
  </mergeCells>
  <dataValidations count="1">
    <dataValidation type="list" showErrorMessage="1" errorTitle="Choose a listed decision" error="Select Pending, Approve, Revise or Reject." sqref="J7:J26" xr:uid="{00000000-0002-0000-0200-000000000000}">
      <formula1>"Pending,Approve,Revise,Reject"</formula1>
    </dataValidation>
  </dataValidations>
  <pageMargins left="0.25" right="0.25" top="0.4" bottom="0.4" header="0.2" footer="0.2"/>
  <pageSetup fitToHeight="0" orientation="landscape"/>
  <headerFooter>
    <oddFooter>SmartCross decision workbook |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4748B"/>
    <pageSetUpPr fitToPage="1"/>
  </sheetPr>
  <dimension ref="B2:I26"/>
  <sheetViews>
    <sheetView showGridLines="0" tabSelected="1" workbookViewId="0">
      <pane xSplit="2" ySplit="6" topLeftCell="C7" activePane="bottomRight" state="frozen"/>
      <selection activeCell="J4" sqref="J4"/>
      <selection pane="topRight" activeCell="J4" sqref="J4"/>
      <selection pane="bottomLeft" activeCell="J4" sqref="J4"/>
      <selection pane="bottomRight" activeCell="J4" sqref="J4"/>
    </sheetView>
  </sheetViews>
  <sheetFormatPr defaultRowHeight="14.4" x14ac:dyDescent="0.3"/>
  <cols>
    <col min="2" max="2" width="8" customWidth="1"/>
    <col min="3" max="3" width="30" customWidth="1"/>
    <col min="4" max="5" width="14" customWidth="1"/>
    <col min="6" max="6" width="23" customWidth="1"/>
    <col min="7" max="7" width="28" customWidth="1"/>
    <col min="8" max="8" width="22" customWidth="1"/>
    <col min="9" max="9" width="48" customWidth="1"/>
  </cols>
  <sheetData>
    <row r="2" spans="2:9" ht="34.049999999999997" customHeight="1" x14ac:dyDescent="0.3">
      <c r="B2" s="31" t="s">
        <v>245</v>
      </c>
      <c r="C2" s="31"/>
      <c r="D2" s="31"/>
      <c r="E2" s="31"/>
      <c r="F2" s="31"/>
      <c r="G2" s="31"/>
      <c r="H2" s="31"/>
      <c r="I2" s="31"/>
    </row>
    <row r="3" spans="2:9" ht="30" customHeight="1" x14ac:dyDescent="0.3">
      <c r="B3" s="32" t="s">
        <v>246</v>
      </c>
      <c r="C3" s="32"/>
      <c r="D3" s="32"/>
      <c r="E3" s="32"/>
      <c r="F3" s="32"/>
      <c r="G3" s="32"/>
      <c r="H3" s="32"/>
      <c r="I3" s="32"/>
    </row>
    <row r="4" spans="2:9" ht="28.05" customHeight="1" x14ac:dyDescent="0.3">
      <c r="B4" s="38" t="s">
        <v>247</v>
      </c>
      <c r="C4" s="38"/>
      <c r="D4" s="38"/>
      <c r="E4" s="38"/>
      <c r="F4" s="38"/>
      <c r="G4" s="38"/>
      <c r="H4" s="38"/>
      <c r="I4" s="38"/>
    </row>
    <row r="6" spans="2:9" ht="34.049999999999997" customHeight="1" x14ac:dyDescent="0.3">
      <c r="B6" s="1" t="s">
        <v>248</v>
      </c>
      <c r="C6" s="1" t="s">
        <v>249</v>
      </c>
      <c r="D6" s="1" t="s">
        <v>41</v>
      </c>
      <c r="E6" s="1" t="s">
        <v>42</v>
      </c>
      <c r="F6" s="1" t="s">
        <v>250</v>
      </c>
      <c r="G6" s="1" t="s">
        <v>251</v>
      </c>
      <c r="H6" s="1" t="s">
        <v>252</v>
      </c>
      <c r="I6" s="1" t="s">
        <v>253</v>
      </c>
    </row>
    <row r="7" spans="2:9" ht="54" customHeight="1" x14ac:dyDescent="0.3">
      <c r="B7" s="22">
        <v>1</v>
      </c>
      <c r="C7" s="23" t="s">
        <v>254</v>
      </c>
      <c r="D7" s="23" t="s">
        <v>255</v>
      </c>
      <c r="E7" s="23" t="s">
        <v>255</v>
      </c>
      <c r="F7" s="23" t="s">
        <v>256</v>
      </c>
      <c r="G7" s="23" t="s">
        <v>257</v>
      </c>
      <c r="H7" s="23" t="s">
        <v>258</v>
      </c>
      <c r="I7" s="23" t="s">
        <v>259</v>
      </c>
    </row>
    <row r="8" spans="2:9" ht="54" customHeight="1" x14ac:dyDescent="0.3">
      <c r="B8" s="24">
        <v>2</v>
      </c>
      <c r="C8" s="25" t="s">
        <v>73</v>
      </c>
      <c r="D8" s="25" t="s">
        <v>255</v>
      </c>
      <c r="E8" s="25" t="s">
        <v>255</v>
      </c>
      <c r="F8" s="25" t="s">
        <v>260</v>
      </c>
      <c r="G8" s="25" t="s">
        <v>261</v>
      </c>
      <c r="H8" s="25" t="s">
        <v>262</v>
      </c>
      <c r="I8" s="25" t="s">
        <v>263</v>
      </c>
    </row>
    <row r="9" spans="2:9" ht="54" customHeight="1" x14ac:dyDescent="0.3">
      <c r="B9" s="22">
        <v>3</v>
      </c>
      <c r="C9" s="23" t="s">
        <v>264</v>
      </c>
      <c r="D9" s="23" t="s">
        <v>255</v>
      </c>
      <c r="E9" s="23" t="s">
        <v>255</v>
      </c>
      <c r="F9" s="23" t="s">
        <v>260</v>
      </c>
      <c r="G9" s="23" t="s">
        <v>261</v>
      </c>
      <c r="H9" s="23" t="s">
        <v>262</v>
      </c>
      <c r="I9" s="23" t="s">
        <v>263</v>
      </c>
    </row>
    <row r="10" spans="2:9" ht="54" customHeight="1" x14ac:dyDescent="0.3">
      <c r="B10" s="24">
        <v>4</v>
      </c>
      <c r="C10" s="25" t="s">
        <v>265</v>
      </c>
      <c r="D10" s="25" t="s">
        <v>255</v>
      </c>
      <c r="E10" s="25" t="s">
        <v>255</v>
      </c>
      <c r="F10" s="25" t="s">
        <v>260</v>
      </c>
      <c r="G10" s="25" t="s">
        <v>261</v>
      </c>
      <c r="H10" s="25" t="s">
        <v>262</v>
      </c>
      <c r="I10" s="25" t="s">
        <v>263</v>
      </c>
    </row>
    <row r="11" spans="2:9" ht="54" customHeight="1" x14ac:dyDescent="0.3">
      <c r="B11" s="22">
        <v>5</v>
      </c>
      <c r="C11" s="23" t="s">
        <v>266</v>
      </c>
      <c r="D11" s="23" t="s">
        <v>255</v>
      </c>
      <c r="E11" s="23" t="s">
        <v>255</v>
      </c>
      <c r="F11" s="23" t="s">
        <v>260</v>
      </c>
      <c r="G11" s="23" t="s">
        <v>261</v>
      </c>
      <c r="H11" s="23" t="s">
        <v>262</v>
      </c>
      <c r="I11" s="23" t="s">
        <v>263</v>
      </c>
    </row>
    <row r="12" spans="2:9" ht="54" customHeight="1" x14ac:dyDescent="0.3">
      <c r="B12" s="24">
        <v>6</v>
      </c>
      <c r="C12" s="25" t="s">
        <v>267</v>
      </c>
      <c r="D12" s="25" t="s">
        <v>255</v>
      </c>
      <c r="E12" s="25" t="s">
        <v>255</v>
      </c>
      <c r="F12" s="25" t="s">
        <v>260</v>
      </c>
      <c r="G12" s="25" t="s">
        <v>261</v>
      </c>
      <c r="H12" s="25" t="s">
        <v>262</v>
      </c>
      <c r="I12" s="25" t="s">
        <v>263</v>
      </c>
    </row>
    <row r="13" spans="2:9" ht="54" customHeight="1" x14ac:dyDescent="0.3">
      <c r="B13" s="22">
        <v>7</v>
      </c>
      <c r="C13" s="23" t="s">
        <v>268</v>
      </c>
      <c r="D13" s="23" t="s">
        <v>255</v>
      </c>
      <c r="E13" s="23" t="s">
        <v>255</v>
      </c>
      <c r="F13" s="23" t="s">
        <v>260</v>
      </c>
      <c r="G13" s="23" t="s">
        <v>261</v>
      </c>
      <c r="H13" s="23" t="s">
        <v>262</v>
      </c>
      <c r="I13" s="23" t="s">
        <v>263</v>
      </c>
    </row>
    <row r="14" spans="2:9" ht="54" customHeight="1" x14ac:dyDescent="0.3">
      <c r="B14" s="24">
        <v>8</v>
      </c>
      <c r="C14" s="25" t="s">
        <v>269</v>
      </c>
      <c r="D14" s="25" t="s">
        <v>255</v>
      </c>
      <c r="E14" s="25" t="s">
        <v>255</v>
      </c>
      <c r="F14" s="25" t="s">
        <v>260</v>
      </c>
      <c r="G14" s="25" t="s">
        <v>261</v>
      </c>
      <c r="H14" s="25" t="s">
        <v>262</v>
      </c>
      <c r="I14" s="25" t="s">
        <v>263</v>
      </c>
    </row>
    <row r="15" spans="2:9" ht="54" customHeight="1" x14ac:dyDescent="0.3">
      <c r="B15" s="22">
        <v>9</v>
      </c>
      <c r="C15" s="23" t="s">
        <v>270</v>
      </c>
      <c r="D15" s="23" t="s">
        <v>255</v>
      </c>
      <c r="E15" s="23" t="s">
        <v>255</v>
      </c>
      <c r="F15" s="23" t="s">
        <v>260</v>
      </c>
      <c r="G15" s="23" t="s">
        <v>261</v>
      </c>
      <c r="H15" s="23" t="s">
        <v>262</v>
      </c>
      <c r="I15" s="23" t="s">
        <v>263</v>
      </c>
    </row>
    <row r="16" spans="2:9" ht="54" customHeight="1" x14ac:dyDescent="0.3">
      <c r="B16" s="24">
        <v>10</v>
      </c>
      <c r="C16" s="25" t="s">
        <v>271</v>
      </c>
      <c r="D16" s="25" t="s">
        <v>255</v>
      </c>
      <c r="E16" s="25" t="s">
        <v>255</v>
      </c>
      <c r="F16" s="25" t="s">
        <v>260</v>
      </c>
      <c r="G16" s="25" t="s">
        <v>261</v>
      </c>
      <c r="H16" s="25" t="s">
        <v>262</v>
      </c>
      <c r="I16" s="25" t="s">
        <v>263</v>
      </c>
    </row>
    <row r="17" spans="2:9" ht="54" customHeight="1" x14ac:dyDescent="0.3">
      <c r="B17" s="22">
        <v>11</v>
      </c>
      <c r="C17" s="23" t="s">
        <v>272</v>
      </c>
      <c r="D17" s="23" t="s">
        <v>255</v>
      </c>
      <c r="E17" s="23" t="s">
        <v>255</v>
      </c>
      <c r="F17" s="23" t="s">
        <v>260</v>
      </c>
      <c r="G17" s="23" t="s">
        <v>261</v>
      </c>
      <c r="H17" s="23" t="s">
        <v>262</v>
      </c>
      <c r="I17" s="23" t="s">
        <v>263</v>
      </c>
    </row>
    <row r="18" spans="2:9" ht="54" customHeight="1" x14ac:dyDescent="0.3">
      <c r="B18" s="24">
        <v>12</v>
      </c>
      <c r="C18" s="25" t="s">
        <v>273</v>
      </c>
      <c r="D18" s="25" t="s">
        <v>255</v>
      </c>
      <c r="E18" s="25" t="s">
        <v>255</v>
      </c>
      <c r="F18" s="25" t="s">
        <v>260</v>
      </c>
      <c r="G18" s="25" t="s">
        <v>261</v>
      </c>
      <c r="H18" s="25" t="s">
        <v>262</v>
      </c>
      <c r="I18" s="25" t="s">
        <v>263</v>
      </c>
    </row>
    <row r="19" spans="2:9" ht="54" customHeight="1" x14ac:dyDescent="0.3">
      <c r="B19" s="22">
        <v>13</v>
      </c>
      <c r="C19" s="23" t="s">
        <v>274</v>
      </c>
      <c r="D19" s="23" t="s">
        <v>255</v>
      </c>
      <c r="E19" s="23" t="s">
        <v>255</v>
      </c>
      <c r="F19" s="23" t="s">
        <v>260</v>
      </c>
      <c r="G19" s="23" t="s">
        <v>261</v>
      </c>
      <c r="H19" s="23" t="s">
        <v>262</v>
      </c>
      <c r="I19" s="23" t="s">
        <v>263</v>
      </c>
    </row>
    <row r="20" spans="2:9" ht="54" customHeight="1" x14ac:dyDescent="0.3">
      <c r="B20" s="24">
        <v>14</v>
      </c>
      <c r="C20" s="25" t="s">
        <v>275</v>
      </c>
      <c r="D20" s="25" t="s">
        <v>255</v>
      </c>
      <c r="E20" s="25" t="s">
        <v>255</v>
      </c>
      <c r="F20" s="25" t="s">
        <v>260</v>
      </c>
      <c r="G20" s="25" t="s">
        <v>261</v>
      </c>
      <c r="H20" s="25" t="s">
        <v>262</v>
      </c>
      <c r="I20" s="25" t="s">
        <v>263</v>
      </c>
    </row>
    <row r="21" spans="2:9" ht="54" customHeight="1" x14ac:dyDescent="0.3">
      <c r="B21" s="22">
        <v>15</v>
      </c>
      <c r="C21" s="23" t="s">
        <v>276</v>
      </c>
      <c r="D21" s="23" t="s">
        <v>255</v>
      </c>
      <c r="E21" s="23" t="s">
        <v>255</v>
      </c>
      <c r="F21" s="23" t="s">
        <v>260</v>
      </c>
      <c r="G21" s="23" t="s">
        <v>261</v>
      </c>
      <c r="H21" s="23" t="s">
        <v>262</v>
      </c>
      <c r="I21" s="23" t="s">
        <v>263</v>
      </c>
    </row>
    <row r="22" spans="2:9" ht="54" customHeight="1" x14ac:dyDescent="0.3">
      <c r="B22" s="24">
        <v>16</v>
      </c>
      <c r="C22" s="25" t="s">
        <v>277</v>
      </c>
      <c r="D22" s="25" t="s">
        <v>255</v>
      </c>
      <c r="E22" s="25" t="s">
        <v>255</v>
      </c>
      <c r="F22" s="25" t="s">
        <v>278</v>
      </c>
      <c r="G22" s="25" t="s">
        <v>279</v>
      </c>
      <c r="H22" s="25" t="s">
        <v>258</v>
      </c>
      <c r="I22" s="25" t="s">
        <v>280</v>
      </c>
    </row>
    <row r="23" spans="2:9" ht="54" customHeight="1" x14ac:dyDescent="0.3">
      <c r="B23" s="22">
        <v>17</v>
      </c>
      <c r="C23" s="23" t="s">
        <v>281</v>
      </c>
      <c r="D23" s="23" t="s">
        <v>282</v>
      </c>
      <c r="E23" s="23" t="s">
        <v>255</v>
      </c>
      <c r="F23" s="23" t="s">
        <v>283</v>
      </c>
      <c r="G23" s="23" t="s">
        <v>284</v>
      </c>
      <c r="H23" s="23" t="s">
        <v>285</v>
      </c>
      <c r="I23" s="23" t="s">
        <v>286</v>
      </c>
    </row>
    <row r="24" spans="2:9" ht="54" customHeight="1" x14ac:dyDescent="0.3">
      <c r="B24" s="24">
        <v>18</v>
      </c>
      <c r="C24" s="25" t="s">
        <v>287</v>
      </c>
      <c r="D24" s="25" t="s">
        <v>255</v>
      </c>
      <c r="E24" s="25" t="s">
        <v>255</v>
      </c>
      <c r="F24" s="25" t="s">
        <v>260</v>
      </c>
      <c r="G24" s="25" t="s">
        <v>261</v>
      </c>
      <c r="H24" s="25" t="s">
        <v>262</v>
      </c>
      <c r="I24" s="25" t="s">
        <v>263</v>
      </c>
    </row>
    <row r="25" spans="2:9" ht="54" customHeight="1" x14ac:dyDescent="0.3">
      <c r="B25" s="22">
        <v>19</v>
      </c>
      <c r="C25" s="23" t="s">
        <v>288</v>
      </c>
      <c r="D25" s="23" t="s">
        <v>255</v>
      </c>
      <c r="E25" s="23" t="s">
        <v>255</v>
      </c>
      <c r="F25" s="23" t="s">
        <v>260</v>
      </c>
      <c r="G25" s="23" t="s">
        <v>289</v>
      </c>
      <c r="H25" s="23" t="s">
        <v>290</v>
      </c>
      <c r="I25" s="23" t="s">
        <v>291</v>
      </c>
    </row>
    <row r="26" spans="2:9" ht="54" customHeight="1" x14ac:dyDescent="0.3">
      <c r="B26" s="24">
        <v>20</v>
      </c>
      <c r="C26" s="25" t="s">
        <v>292</v>
      </c>
      <c r="D26" s="25" t="s">
        <v>255</v>
      </c>
      <c r="E26" s="25" t="s">
        <v>255</v>
      </c>
      <c r="F26" s="25" t="s">
        <v>260</v>
      </c>
      <c r="G26" s="25" t="s">
        <v>293</v>
      </c>
      <c r="H26" s="25" t="s">
        <v>290</v>
      </c>
      <c r="I26" s="25" t="s">
        <v>291</v>
      </c>
    </row>
  </sheetData>
  <autoFilter ref="B6:I26" xr:uid="{00000000-0009-0000-0000-000003000000}"/>
  <mergeCells count="3">
    <mergeCell ref="B2:I2"/>
    <mergeCell ref="B3:I3"/>
    <mergeCell ref="B4:I4"/>
  </mergeCells>
  <pageMargins left="0.25" right="0.25" top="0.4" bottom="0.4" header="0.2" footer="0.2"/>
  <pageSetup fitToHeight="0" orientation="landscape"/>
  <headerFooter>
    <oddFooter>SmartCross decision workbook |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83E4D"/>
    <pageSetUpPr fitToPage="1"/>
  </sheetPr>
  <dimension ref="B2:I12"/>
  <sheetViews>
    <sheetView showGridLines="0" tabSelected="1" workbookViewId="0">
      <pane xSplit="2" ySplit="6" topLeftCell="C7" activePane="bottomRight" state="frozen"/>
      <selection activeCell="J4" sqref="J4"/>
      <selection pane="topRight" activeCell="J4" sqref="J4"/>
      <selection pane="bottomLeft" activeCell="J4" sqref="J4"/>
      <selection pane="bottomRight" activeCell="J4" sqref="J4"/>
    </sheetView>
  </sheetViews>
  <sheetFormatPr defaultRowHeight="14.4" x14ac:dyDescent="0.3"/>
  <cols>
    <col min="2" max="2" width="8" customWidth="1"/>
    <col min="3" max="3" width="31" customWidth="1"/>
    <col min="4" max="4" width="54" customWidth="1"/>
    <col min="5" max="5" width="20" customWidth="1"/>
    <col min="6" max="6" width="12" customWidth="1"/>
    <col min="7" max="7" width="13" customWidth="1"/>
    <col min="8" max="8" width="34" customWidth="1"/>
    <col min="9" max="9" width="13" customWidth="1"/>
  </cols>
  <sheetData>
    <row r="2" spans="2:9" ht="34.049999999999997" customHeight="1" x14ac:dyDescent="0.3">
      <c r="B2" s="31" t="s">
        <v>294</v>
      </c>
      <c r="C2" s="31"/>
      <c r="D2" s="31"/>
      <c r="E2" s="31"/>
      <c r="F2" s="31"/>
      <c r="G2" s="31"/>
      <c r="H2" s="31"/>
      <c r="I2" s="31"/>
    </row>
    <row r="3" spans="2:9" ht="30" customHeight="1" x14ac:dyDescent="0.3">
      <c r="B3" s="32" t="s">
        <v>295</v>
      </c>
      <c r="C3" s="32"/>
      <c r="D3" s="32"/>
      <c r="E3" s="32"/>
      <c r="F3" s="32"/>
      <c r="G3" s="32"/>
      <c r="H3" s="32"/>
      <c r="I3" s="32"/>
    </row>
    <row r="4" spans="2:9" ht="28.05" customHeight="1" x14ac:dyDescent="0.3">
      <c r="B4" s="39" t="s">
        <v>296</v>
      </c>
      <c r="C4" s="39"/>
      <c r="D4" s="39"/>
      <c r="E4" s="39"/>
      <c r="F4" s="39"/>
      <c r="G4" s="39"/>
      <c r="H4" s="39"/>
      <c r="I4" s="39"/>
    </row>
    <row r="6" spans="2:9" ht="34.049999999999997" customHeight="1" x14ac:dyDescent="0.3">
      <c r="B6" s="26" t="s">
        <v>47</v>
      </c>
      <c r="C6" s="26" t="s">
        <v>297</v>
      </c>
      <c r="D6" s="26" t="s">
        <v>298</v>
      </c>
      <c r="E6" s="26" t="s">
        <v>53</v>
      </c>
      <c r="F6" s="26" t="s">
        <v>54</v>
      </c>
      <c r="G6" s="26" t="s">
        <v>55</v>
      </c>
      <c r="H6" s="26" t="s">
        <v>56</v>
      </c>
      <c r="I6" s="26" t="s">
        <v>57</v>
      </c>
    </row>
    <row r="7" spans="2:9" ht="61.95" customHeight="1" x14ac:dyDescent="0.3">
      <c r="B7" s="27" t="s">
        <v>299</v>
      </c>
      <c r="C7" s="23" t="s">
        <v>300</v>
      </c>
      <c r="D7" s="23" t="s">
        <v>301</v>
      </c>
      <c r="E7" s="23" t="s">
        <v>290</v>
      </c>
      <c r="F7" s="27" t="s">
        <v>65</v>
      </c>
      <c r="G7" s="28" t="s">
        <v>37</v>
      </c>
      <c r="H7" s="29" t="s">
        <v>66</v>
      </c>
      <c r="I7" s="27" t="str">
        <f t="shared" ref="I7:I12" si="0">IF(G7="Approve","Include",IF(G7="Reject","Exclude",IF(G7="Revise","Revise","Pending")))</f>
        <v>Pending</v>
      </c>
    </row>
    <row r="8" spans="2:9" ht="61.95" customHeight="1" x14ac:dyDescent="0.3">
      <c r="B8" s="30" t="s">
        <v>302</v>
      </c>
      <c r="C8" s="25" t="s">
        <v>303</v>
      </c>
      <c r="D8" s="25" t="s">
        <v>304</v>
      </c>
      <c r="E8" s="25" t="s">
        <v>290</v>
      </c>
      <c r="F8" s="30" t="s">
        <v>65</v>
      </c>
      <c r="G8" s="28" t="s">
        <v>37</v>
      </c>
      <c r="H8" s="29" t="s">
        <v>66</v>
      </c>
      <c r="I8" s="30" t="str">
        <f t="shared" si="0"/>
        <v>Pending</v>
      </c>
    </row>
    <row r="9" spans="2:9" ht="61.95" customHeight="1" x14ac:dyDescent="0.3">
      <c r="B9" s="27" t="s">
        <v>305</v>
      </c>
      <c r="C9" s="23" t="s">
        <v>306</v>
      </c>
      <c r="D9" s="23" t="s">
        <v>307</v>
      </c>
      <c r="E9" s="23" t="s">
        <v>290</v>
      </c>
      <c r="F9" s="27" t="s">
        <v>65</v>
      </c>
      <c r="G9" s="28" t="s">
        <v>37</v>
      </c>
      <c r="H9" s="29" t="s">
        <v>66</v>
      </c>
      <c r="I9" s="27" t="str">
        <f t="shared" si="0"/>
        <v>Pending</v>
      </c>
    </row>
    <row r="10" spans="2:9" ht="61.95" customHeight="1" x14ac:dyDescent="0.3">
      <c r="B10" s="30" t="s">
        <v>308</v>
      </c>
      <c r="C10" s="25" t="s">
        <v>309</v>
      </c>
      <c r="D10" s="25" t="s">
        <v>310</v>
      </c>
      <c r="E10" s="25" t="s">
        <v>311</v>
      </c>
      <c r="F10" s="30" t="s">
        <v>81</v>
      </c>
      <c r="G10" s="28" t="s">
        <v>37</v>
      </c>
      <c r="H10" s="29" t="s">
        <v>66</v>
      </c>
      <c r="I10" s="30" t="str">
        <f t="shared" si="0"/>
        <v>Pending</v>
      </c>
    </row>
    <row r="11" spans="2:9" ht="61.95" customHeight="1" x14ac:dyDescent="0.3">
      <c r="B11" s="27" t="s">
        <v>312</v>
      </c>
      <c r="C11" s="23" t="s">
        <v>313</v>
      </c>
      <c r="D11" s="23" t="s">
        <v>314</v>
      </c>
      <c r="E11" s="23" t="s">
        <v>311</v>
      </c>
      <c r="F11" s="27" t="s">
        <v>81</v>
      </c>
      <c r="G11" s="28" t="s">
        <v>37</v>
      </c>
      <c r="H11" s="29" t="s">
        <v>66</v>
      </c>
      <c r="I11" s="27" t="str">
        <f t="shared" si="0"/>
        <v>Pending</v>
      </c>
    </row>
    <row r="12" spans="2:9" ht="61.95" customHeight="1" x14ac:dyDescent="0.3">
      <c r="B12" s="30" t="s">
        <v>315</v>
      </c>
      <c r="C12" s="25" t="s">
        <v>316</v>
      </c>
      <c r="D12" s="25" t="s">
        <v>317</v>
      </c>
      <c r="E12" s="25" t="s">
        <v>318</v>
      </c>
      <c r="F12" s="30" t="s">
        <v>65</v>
      </c>
      <c r="G12" s="28" t="s">
        <v>37</v>
      </c>
      <c r="H12" s="29" t="s">
        <v>66</v>
      </c>
      <c r="I12" s="30" t="str">
        <f t="shared" si="0"/>
        <v>Pending</v>
      </c>
    </row>
  </sheetData>
  <autoFilter ref="B6:I12" xr:uid="{00000000-0009-0000-0000-000004000000}"/>
  <mergeCells count="3">
    <mergeCell ref="B2:I2"/>
    <mergeCell ref="B3:I3"/>
    <mergeCell ref="B4:I4"/>
  </mergeCells>
  <dataValidations count="1">
    <dataValidation type="list" sqref="G7:G12" xr:uid="{00000000-0002-0000-0400-000000000000}">
      <formula1>"Pending,Approve,Revise,Reject"</formula1>
    </dataValidation>
  </dataValidations>
  <pageMargins left="0.25" right="0.25" top="0.4" bottom="0.4" header="0.2" footer="0.2"/>
  <pageSetup fitToHeight="0" orientation="landscape"/>
  <headerFooter>
    <oddFooter>SmartCross decision workbook |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Decision Summary</vt:lpstr>
      <vt:lpstr>Normal Proposals</vt:lpstr>
      <vt:lpstr>School Proposals</vt:lpstr>
      <vt:lpstr>Current Comparison</vt:lpstr>
      <vt:lpstr>Emergency Hazards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2026-08-26T16:00:00Z</dcterms:created>
  <dcterms:modified xsi:type="dcterms:W3CDTF">2026-08-27T04:37:58Z</dcterms:modified>
  <cp:category/>
</cp:coreProperties>
</file>