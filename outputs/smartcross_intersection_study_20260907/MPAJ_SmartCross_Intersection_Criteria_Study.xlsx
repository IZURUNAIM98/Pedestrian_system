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martCross Baseline Audit" sheetId="2" state="visible" r:id="rId2"/>
    <sheet name="Configuration Register" sheetId="3" state="visible" r:id="rId3"/>
    <sheet name="Criteria and Weights" sheetId="4" state="visible" r:id="rId4"/>
    <sheet name="Weighted Decision Matrix" sheetId="5" state="visible" r:id="rId5"/>
    <sheet name="Mandatory Safety Gates" sheetId="6" state="visible" r:id="rId6"/>
    <sheet name="Candidate Site Screening" sheetId="7" state="visible" r:id="rId7"/>
    <sheet name="Site Survey Requirements" sheetId="8" state="visible" r:id="rId8"/>
    <sheet name="Vehicle Movement Matrix" sheetId="9" state="visible" r:id="rId9"/>
    <sheet name="Pedestrian Route Matrix" sheetId="10" state="visible" r:id="rId10"/>
    <sheet name="Scenario Register" sheetId="11" state="visible" r:id="rId11"/>
    <sheet name="Seven-Stage Timeline Mapping" sheetId="12" state="visible" r:id="rId12"/>
    <sheet name="Conflict and Risk Register" sheetId="13" state="visible" r:id="rId13"/>
    <sheet name="Infrastructure Schedule" sheetId="14" state="visible" r:id="rId14"/>
    <sheet name="Signal Sequence Comparison" sheetId="15" state="visible" r:id="rId15"/>
    <sheet name="Cost Model" sheetId="16" state="visible" r:id="rId16"/>
    <sheet name="KPI Framework" sheetId="17" state="visible" r:id="rId17"/>
    <sheet name="Pilot Implementation Plan" sheetId="18" state="visible" r:id="rId18"/>
    <sheet name="Governance and Privacy" sheetId="19" state="visible" r:id="rId19"/>
    <sheet name="Evidence Register" sheetId="20" state="visible" r:id="rId20"/>
    <sheet name="Assumptions and Data Gaps" sheetId="21" state="visible" r:id="rId21"/>
    <sheet name="Validation Checklist" sheetId="22" state="visible" r:id="rId2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RM #,##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72033"/>
      <sz val="10"/>
    </font>
    <font>
      <b val="1"/>
      <color rgb="0016324F"/>
    </font>
    <font>
      <name val="Aptos"/>
      <b val="1"/>
      <color rgb="00FFFFFF"/>
      <sz val="10"/>
    </font>
    <font>
      <name val="Aptos"/>
      <color rgb="00172033"/>
      <sz val="9"/>
    </font>
  </fonts>
  <fills count="8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DBEAFE"/>
      </patternFill>
    </fill>
    <fill>
      <patternFill patternType="solid">
        <fgColor rgb="00E5E7EB"/>
      </patternFill>
    </fill>
    <fill>
      <patternFill patternType="solid">
        <fgColor rgb="000F766E"/>
      </patternFill>
    </fill>
    <fill>
      <patternFill patternType="solid">
        <fgColor rgb="00FFF2CC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9" fontId="0" fillId="0" borderId="0" pivotButton="0" quotePrefix="0" xfId="0"/>
    <xf numFmtId="0" fontId="0" fillId="7" borderId="0" pivotButton="0" quotePrefix="0" xfId="0"/>
    <xf numFmtId="9" fontId="5" fillId="6" borderId="1" applyAlignment="1" pivotButton="0" quotePrefix="0" xfId="0">
      <alignment vertical="top" wrapText="1"/>
    </xf>
    <xf numFmtId="9" fontId="0" fillId="6" borderId="0" pivotButton="0" quotePrefix="0" xfId="0"/>
    <xf numFmtId="0" fontId="5" fillId="6" borderId="1" applyAlignment="1" pivotButton="0" quotePrefix="0" xfId="0">
      <alignment vertical="top" wrapText="1"/>
    </xf>
    <xf numFmtId="0" fontId="0" fillId="6" borderId="0" pivotButton="0" quotePrefix="0" xfId="0"/>
    <xf numFmtId="164" fontId="5" fillId="6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0" fillId="0" borderId="0" pivotButton="0" quotePrefix="0" xfId="0"/>
    <xf numFmtId="164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Risk-adjusted configuration scores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Summary'!D12</f>
            </strRef>
          </tx>
          <spPr>
            <a:ln>
              <a:prstDash val="solid"/>
            </a:ln>
          </spPr>
          <cat>
            <numRef>
              <f>'Executive Summary'!$A$13:$A$18</f>
            </numRef>
          </cat>
          <val>
            <numRef>
              <f>'Executive Summary'!$D$13:$D$18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Score / 5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configuration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'Weighted Decision Matrix'!B4</f>
            </strRef>
          </tx>
          <spPr>
            <a:ln>
              <a:prstDash val="solid"/>
            </a:ln>
          </spPr>
          <cat>
            <numRef>
              <f>'Weighted Decision Matrix'!$A$5:$A$10</f>
            </numRef>
          </cat>
          <val>
            <numRef>
              <f>'Weighted Decision Matrix'!$B$5:$B$10</f>
            </numRef>
          </val>
        </ser>
        <ser>
          <idx val="1"/>
          <order val="1"/>
          <tx>
            <strRef>
              <f>'Weighted Decision Matrix'!C4</f>
            </strRef>
          </tx>
          <spPr>
            <a:ln>
              <a:prstDash val="solid"/>
            </a:ln>
          </spPr>
          <cat>
            <numRef>
              <f>'Weighted Decision Matrix'!$A$5:$A$10</f>
            </numRef>
          </cat>
          <val>
            <numRef>
              <f>'Weighted Decision Matrix'!$C$5:$C$10</f>
            </numRef>
          </val>
        </ser>
        <ser>
          <idx val="2"/>
          <order val="2"/>
          <tx>
            <strRef>
              <f>'Weighted Decision Matrix'!D4</f>
            </strRef>
          </tx>
          <spPr>
            <a:ln>
              <a:prstDash val="solid"/>
            </a:ln>
          </spPr>
          <cat>
            <numRef>
              <f>'Weighted Decision Matrix'!$A$5:$A$10</f>
            </numRef>
          </cat>
          <val>
            <numRef>
              <f>'Weighted Decision Matrix'!$D$5:$D$10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/ 5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Inherent 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'Conflict and Risk Register'!O3</f>
            </strRef>
          </tx>
          <spPr>
            <a:ln>
              <a:prstDash val="solid"/>
            </a:ln>
          </spPr>
          <cat>
            <numRef>
              <f>'Conflict and Risk Register'!$N$4:$N$6</f>
            </numRef>
          </cat>
          <val>
            <numRef>
              <f>'Conflict and Risk Register'!$O$4:$O$6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CAPEX range (activates when rates are entered)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 Model'!B35</f>
            </strRef>
          </tx>
          <spPr>
            <a:ln>
              <a:prstDash val="solid"/>
            </a:ln>
          </spPr>
          <cat>
            <numRef>
              <f>'Cost Model'!$A$36:$A$39</f>
            </numRef>
          </cat>
          <val>
            <numRef>
              <f>'Cost Model'!$B$36:$B$39</f>
            </numRef>
          </val>
        </ser>
        <ser>
          <idx val="1"/>
          <order val="1"/>
          <tx>
            <strRef>
              <f>'Cost Model'!C35</f>
            </strRef>
          </tx>
          <spPr>
            <a:ln>
              <a:prstDash val="solid"/>
            </a:ln>
          </spPr>
          <cat>
            <numRef>
              <f>'Cost Model'!$A$36:$A$39</f>
            </numRef>
          </cat>
          <val>
            <numRef>
              <f>'Cost Model'!$C$36:$C$39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7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34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selineAuditTable" displayName="BaselineAuditTable" ref="A3:G18" headerRowCount="1">
  <autoFilter ref="A3:G18"/>
  <tableColumns count="7">
    <tableColumn id="1" name="Feature"/>
    <tableColumn id="2" name="Observed / repository finding"/>
    <tableColumn id="3" name="Verification status"/>
    <tableColumn id="4" name="Evidence location"/>
    <tableColumn id="5" name="Limitation"/>
    <tableColumn id="6" name="Adaptation implication"/>
    <tableColumn id="7" name="Source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figurationTable" displayName="ConfigurationTable" ref="A3:I9" headerRowCount="1">
  <autoFilter ref="A3:I9"/>
  <tableColumns count="9">
    <tableColumn id="1" name="Variant ID"/>
    <tableColumn id="2" name="Base ID"/>
    <tableColumn id="3" name="Layout"/>
    <tableColumn id="4" name="Mode"/>
    <tableColumn id="5" name="Concept description"/>
    <tableColumn id="6" name="Pedestrian-control concept"/>
    <tableColumn id="7" name="Current decision"/>
    <tableColumn id="8" name="Evidence state"/>
    <tableColumn id="9" name="Drawing sc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riteriaWeightsTable" displayName="CriteriaWeightsTable" ref="A5:G28" headerRowCount="1">
  <autoFilter ref="A5:G28"/>
  <tableColumns count="7">
    <tableColumn id="1" name="Criterion ID"/>
    <tableColumn id="2" name="Group"/>
    <tableColumn id="3" name="Criterion"/>
    <tableColumn id="4" name="Weight"/>
    <tableColumn id="5" name="Required evidence"/>
    <tableColumn id="6" name="Editable?"/>
    <tableColumn id="7" name="Scoring 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afetyGatesTable" displayName="SafetyGatesTable" ref="A3:L17" headerRowCount="1">
  <autoFilter ref="A3:L17"/>
  <tableColumns count="12">
    <tableColumn id="1" name="Gate ID"/>
    <tableColumn id="2" name="Mandatory gate"/>
    <tableColumn id="3" name="Evidence required"/>
    <tableColumn id="4" name="SC-B0-N"/>
    <tableColumn id="5" name="SC-B0-S"/>
    <tableColumn id="6" name="SC-T1-N"/>
    <tableColumn id="7" name="SC-T1-S"/>
    <tableColumn id="8" name="SC-X1-N"/>
    <tableColumn id="9" name="SC-X1-S"/>
    <tableColumn id="10" name="Owner"/>
    <tableColumn id="11" name="Required action"/>
    <tableColumn id="12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ndidateSitesTable" displayName="CandidateSitesTable" ref="A3:P5" headerRowCount="1">
  <autoFilter ref="A3:P5"/>
  <tableColumns count="16">
    <tableColumn id="1" name="Candidate ID"/>
    <tableColumn id="2" name="Actual MPAJ location"/>
    <tableColumn id="3" name="Intersection type"/>
    <tableColumn id="4" name="Nearby generators"/>
    <tableColumn id="5" name="Ped peak"/>
    <tableColumn id="6" name="Vehicle peak"/>
    <tableColumn id="7" name="85th % speed"/>
    <tableColumn id="8" name="Crossing distance m"/>
    <tableColumn id="9" name="Crash / near miss"/>
    <tableColumn id="10" name="Lighting"/>
    <tableColumn id="11" name="Accessibility"/>
    <tableColumn id="12" name="Comms"/>
    <tableColumn id="13" name="Readiness score"/>
    <tableColumn id="14" name="Shortlist status"/>
    <tableColumn id="15" name="Evidence status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rveyRequirementsTable" displayName="SurveyRequirementsTable" ref="A3:H15" headerRowCount="1">
  <autoFilter ref="A3:H15"/>
  <tableColumns count="8">
    <tableColumn id="1" name="Survey ID"/>
    <tableColumn id="2" name="Survey item"/>
    <tableColumn id="3" name="Method"/>
    <tableColumn id="4" name="Unit"/>
    <tableColumn id="5" name="Observation period"/>
    <tableColumn id="6" name="Responsible party"/>
    <tableColumn id="7" name="Quality check"/>
    <tableColumn id="8" name="Completion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VehicleMovementTable" displayName="VehicleMovementTable" ref="A3:H25" headerRowCount="1">
  <autoFilter ref="A3:H25"/>
  <tableColumns count="8">
    <tableColumn id="1" name="Configuration"/>
    <tableColumn id="2" name="Approach"/>
    <tableColumn id="3" name="Movement"/>
    <tableColumn id="4" name="Conflicting pedestrian route"/>
    <tableColumn id="5" name="Proposed phase"/>
    <tableColumn id="6" name="Control"/>
    <tableColumn id="7" name="Failure response"/>
    <tableColumn id="8" name="Evidence st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destrianRouteTable" displayName="PedestrianRouteTable" ref="A3:I11" headerRowCount="1">
  <autoFilter ref="A3:I11"/>
  <tableColumns count="9">
    <tableColumn id="1" name="Configuration"/>
    <tableColumn id="2" name="Route ID"/>
    <tableColumn id="3" name="Origin"/>
    <tableColumn id="4" name="Destination"/>
    <tableColumn id="5" name="Crossing leg"/>
    <tableColumn id="6" name="Distance m"/>
    <tableColumn id="7" name="Accessible route"/>
    <tableColumn id="8" name="Conflict count"/>
    <tableColumn id="9" name="Evidence st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cenarioRegisterTable" displayName="ScenarioRegisterTable" ref="A3:O75" headerRowCount="1">
  <autoFilter ref="A3:O75"/>
  <tableColumns count="15">
    <tableColumn id="1" name="Scenario key"/>
    <tableColumn id="2" name="Scenario ID"/>
    <tableColumn id="3" name="Type"/>
    <tableColumn id="4" name="Scenario"/>
    <tableColumn id="5" name="Configuration"/>
    <tableColumn id="6" name="Initial positions"/>
    <tableColumn id="7" name="Trigger"/>
    <tableColumn id="8" name="Pedestrian movement"/>
    <tableColumn id="9" name="Vehicle movement"/>
    <tableColumn id="10" name="Signal state"/>
    <tableColumn id="11" name="Detection"/>
    <tableColumn id="12" name="Conflict point"/>
    <tableColumn id="13" name="System response"/>
    <tableColumn id="14" name="Safe outcome"/>
    <tableColumn id="15" name="Validation tes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imelineTable" displayName="TimelineTable" ref="A3:K75" headerRowCount="1">
  <autoFilter ref="A3:K75"/>
  <tableColumns count="11">
    <tableColumn id="1" name="Scenario key"/>
    <tableColumn id="2" name="Configuration"/>
    <tableColumn id="3" name="Scenario"/>
    <tableColumn id="4" name="Approach"/>
    <tableColumn id="5" name="Initiation"/>
    <tableColumn id="6" name="Detected"/>
    <tableColumn id="7" name="Escalation"/>
    <tableColumn id="8" name="Conflict"/>
    <tableColumn id="9" name="Response"/>
    <tableColumn id="10" name="Outcome"/>
    <tableColumn id="11" name="Adaptation 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iskRegisterTable" displayName="RiskRegisterTable" ref="A3:L15" headerRowCount="1">
  <autoFilter ref="A3:L15"/>
  <tableColumns count="12">
    <tableColumn id="1" name="Risk ID"/>
    <tableColumn id="2" name="Configuration"/>
    <tableColumn id="3" name="Hazard"/>
    <tableColumn id="4" name="Condition"/>
    <tableColumn id="5" name="Likelihood 1-5"/>
    <tableColumn id="6" name="Severity 1-5"/>
    <tableColumn id="7" name="Inherent risk"/>
    <tableColumn id="8" name="Mitigation"/>
    <tableColumn id="9" name="Residual likelihood"/>
    <tableColumn id="10" name="Residual severity"/>
    <tableColumn id="11" name="Residual risk"/>
    <tableColumn id="12" name="Owne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InfrastructureTable" displayName="InfrastructureTable" ref="A3:R26" headerRowCount="1">
  <autoFilter ref="A3:R26"/>
  <tableColumns count="18">
    <tableColumn id="1" name="Module ID"/>
    <tableColumn id="2" name="Module"/>
    <tableColumn id="3" name="Function"/>
    <tableColumn id="4" name="SC-B0 status"/>
    <tableColumn id="5" name="SC-T1 requirement"/>
    <tableColumn id="6" name="SC-X1 requirement"/>
    <tableColumn id="7" name="Proposed location"/>
    <tableColumn id="8" name="Quantity"/>
    <tableColumn id="9" name="Power"/>
    <tableColumn id="10" name="Communications"/>
    <tableColumn id="11" name="Data produced"/>
    <tableColumn id="12" name="Dependency"/>
    <tableColumn id="13" name="Privacy"/>
    <tableColumn id="14" name="Cybersecurity control"/>
    <tableColumn id="15" name="Maintenance"/>
    <tableColumn id="16" name="Safe fallback"/>
    <tableColumn id="17" name="Cost category"/>
    <tableColumn id="18" name="Evidence / assump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ignalSequenceTable" displayName="SignalSequenceTable" ref="A3:I7" headerRowCount="1">
  <autoFilter ref="A3:I7"/>
  <tableColumns count="9">
    <tableColumn id="1" name="Sequence ID"/>
    <tableColumn id="2" name="Configuration"/>
    <tableColumn id="3" name="Phase order"/>
    <tableColumn id="4" name="Pedestrian service"/>
    <tableColumn id="5" name="Turning control"/>
    <tableColumn id="6" name="Slow-user extension"/>
    <tableColumn id="7" name="School variant"/>
    <tableColumn id="8" name="Failure mode"/>
    <tableColumn id="9" name="Evidence sta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CostInputTable" displayName="CostInputTable" ref="A5:L33" headerRowCount="1">
  <autoFilter ref="A5:L33"/>
  <tableColumns count="12">
    <tableColumn id="1" name="Cost ID"/>
    <tableColumn id="2" name="Configuration"/>
    <tableColumn id="3" name="Category"/>
    <tableColumn id="4" name="Item"/>
    <tableColumn id="5" name="Quantity"/>
    <tableColumn id="6" name="Low unit rate RM"/>
    <tableColumn id="7" name="High unit rate RM"/>
    <tableColumn id="8" name="Low subtotal RM"/>
    <tableColumn id="9" name="High subtotal RM"/>
    <tableColumn id="10" name="Annual OPEX low RM"/>
    <tableColumn id="11" name="Annual OPEX high RM"/>
    <tableColumn id="12" name="Quotation / source 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KpiTable" displayName="KpiTable" ref="A3:J19" headerRowCount="1">
  <autoFilter ref="A3:J19"/>
  <tableColumns count="10">
    <tableColumn id="1" name="KPI ID"/>
    <tableColumn id="2" name="KPI"/>
    <tableColumn id="3" name="Unit"/>
    <tableColumn id="4" name="Direction"/>
    <tableColumn id="5" name="Baseline"/>
    <tableColumn id="6" name="Target"/>
    <tableColumn id="7" name="Post-pilot"/>
    <tableColumn id="8" name="Target status"/>
    <tableColumn id="9" name="Method"/>
    <tableColumn id="10" name="Frequenc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PilotPlanTable" displayName="PilotPlanTable" ref="A3:I11" headerRowCount="1">
  <autoFilter ref="A3:I11"/>
  <tableColumns count="9">
    <tableColumn id="1" name="Phase"/>
    <tableColumn id="2" name="Activity"/>
    <tableColumn id="3" name="Predecessor"/>
    <tableColumn id="4" name="Owner"/>
    <tableColumn id="5" name="Indicative duration"/>
    <tableColumn id="6" name="Approval gate"/>
    <tableColumn id="7" name="Deliverable"/>
    <tableColumn id="8" name="Status"/>
    <tableColumn id="9" name="Decis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GovernanceTable" displayName="GovernanceTable" ref="A3:H16" headerRowCount="1">
  <autoFilter ref="A3:H16"/>
  <tableColumns count="8">
    <tableColumn id="1" name="Control ID"/>
    <tableColumn id="2" name="Domain"/>
    <tableColumn id="3" name="Requirement"/>
    <tableColumn id="4" name="Proposed owner"/>
    <tableColumn id="5" name="Evidence / approval"/>
    <tableColumn id="6" name="Status"/>
    <tableColumn id="7" name="Failure response"/>
    <tableColumn id="8" name="Sourc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EvidenceTable" displayName="EvidenceTable" ref="A3:H14" headerRowCount="1">
  <autoFilter ref="A3:H14"/>
  <tableColumns count="8">
    <tableColumn id="1" name="Source ID"/>
    <tableColumn id="2" name="Title"/>
    <tableColumn id="3" name="Publisher"/>
    <tableColumn id="4" name="Date"/>
    <tableColumn id="5" name="URL / location"/>
    <tableColumn id="6" name="Relevance"/>
    <tableColumn id="7" name="Limitation"/>
    <tableColumn id="8" name="Evidence classifica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ataGapTable" displayName="DataGapTable" ref="A3:H13" headerRowCount="1">
  <autoFilter ref="A3:H13"/>
  <tableColumns count="8">
    <tableColumn id="1" name="Gap ID"/>
    <tableColumn id="2" name="Assumption / gap"/>
    <tableColumn id="3" name="Evidence class"/>
    <tableColumn id="4" name="Impact"/>
    <tableColumn id="5" name="Verification action"/>
    <tableColumn id="6" name="Owner"/>
    <tableColumn id="7" name="Due status"/>
    <tableColumn id="8" name="Related ga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ValidationTable" displayName="ValidationTable" ref="A3:G17" headerRowCount="1">
  <autoFilter ref="A3:G17"/>
  <tableColumns count="7">
    <tableColumn id="1" name="Check ID"/>
    <tableColumn id="2" name="Category"/>
    <tableColumn id="3" name="Check"/>
    <tableColumn id="4" name="Method / evidence"/>
    <tableColumn id="5" name="Result"/>
    <tableColumn id="6" name="Checked date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11.xml" Id="rId2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14.xml" Id="rId2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8" customWidth="1" min="3" max="3"/>
    <col width="18" customWidth="1" min="4" max="4"/>
    <col width="24" customWidth="1" min="5" max="5"/>
    <col width="46" customWidth="1" min="6" max="6"/>
  </cols>
  <sheetData>
    <row r="1" ht="34" customHeight="1">
      <c r="A1" s="1" t="inlineStr">
        <is>
          <t>MPAJ SmartCross 2.2 Intersection Feasibility Study</t>
        </is>
      </c>
    </row>
    <row r="2" ht="30" customHeight="1">
      <c r="A2" s="2" t="inlineStr">
        <is>
          <t>Initial feasibility model | Information verified 2026-09-07 | Not a construction or live-control approval</t>
        </is>
      </c>
    </row>
    <row r="3" ht="30" customHeight="1"/>
    <row r="4" ht="34" customHeight="1">
      <c r="A4" s="3" t="inlineStr">
        <is>
          <t>Objective</t>
        </is>
      </c>
      <c r="B4" s="4" t="inlineStr">
        <is>
          <t>Compare the SmartCross 2.2 straight-road baseline with three-arm and four-arm concepts for potential MPAJ use.</t>
        </is>
      </c>
    </row>
    <row r="5" ht="34" customHeight="1">
      <c r="A5" s="3" t="inlineStr">
        <is>
          <t>Scope</t>
        </is>
      </c>
      <c r="B5" s="4" t="inlineStr">
        <is>
          <t>Concept screening, mandatory safety gates, survey specification, infrastructure, governance, pilot and KPI framework.</t>
        </is>
      </c>
    </row>
    <row r="6" ht="34" customHeight="1">
      <c r="A6" s="3" t="inlineStr">
        <is>
          <t>Evidence boundary</t>
        </is>
      </c>
      <c r="B6" s="4" t="inlineStr">
        <is>
          <t>Repository inspected. Interactive live-app visual inspection unavailable. No actual MPAJ candidate site or measured field dataset was supplied.</t>
        </is>
      </c>
    </row>
    <row r="7" ht="34" customHeight="1">
      <c r="A7" s="3" t="inlineStr">
        <is>
          <t>Preliminary preference</t>
        </is>
      </c>
      <c r="B7" s="4" t="inlineStr">
        <is>
          <t>SC-T1-N ranks highest conceptually because it can isolate fewer movement conflicts than SC-X1, subject to site evidence and all safety gates.</t>
        </is>
      </c>
    </row>
    <row r="8" ht="34" customHeight="1">
      <c r="A8" s="3" t="inlineStr">
        <is>
          <t>Decision rule</t>
        </is>
      </c>
      <c r="B8" s="4" t="inlineStr">
        <is>
          <t>No layout may be recommended for pilot while any critical safety gate is Fail, Not Assessed or Data Required.</t>
        </is>
      </c>
    </row>
    <row r="9" ht="34" customHeight="1">
      <c r="A9" s="3" t="inlineStr">
        <is>
          <t>Critical gaps</t>
        </is>
      </c>
      <c r="B9" s="4" t="inlineStr">
        <is>
          <t>MPAJ-nominated sites; counts; speeds; geometry; crash/near-miss history; controller capability; accessibility; legal authority; RSA; supplier quotations.</t>
        </is>
      </c>
    </row>
    <row r="10" ht="34" customHeight="1">
      <c r="A10" s="3" t="inlineStr">
        <is>
          <t>Next decision gate</t>
        </is>
      </c>
      <c r="B10" s="4" t="inlineStr">
        <is>
          <t>Complete baseline surveys and independent road-safety audit, identify road authority, then re-score the workbook with evidence.</t>
        </is>
      </c>
    </row>
    <row r="11" ht="30" customHeight="1"/>
    <row r="12" ht="32" customHeight="1">
      <c r="A12" s="5" t="inlineStr">
        <is>
          <t>Configuration</t>
        </is>
      </c>
      <c r="B12" s="5" t="inlineStr">
        <is>
          <t>Concept score /5</t>
        </is>
      </c>
      <c r="C12" s="5" t="inlineStr">
        <is>
          <t>Evidence completeness</t>
        </is>
      </c>
      <c r="D12" s="5" t="inlineStr">
        <is>
          <t>Risk-adjusted score /5</t>
        </is>
      </c>
      <c r="E12" s="5" t="inlineStr">
        <is>
          <t>Mandatory-gate status</t>
        </is>
      </c>
      <c r="F12" s="5" t="inlineStr">
        <is>
          <t>Conditional recommendation</t>
        </is>
      </c>
    </row>
    <row r="13" ht="30" customHeight="1">
      <c r="A13" s="6" t="inlineStr">
        <is>
          <t>SC-B0-N</t>
        </is>
      </c>
      <c r="B13" s="7">
        <f>'Weighted Decision Matrix'!B5</f>
        <v/>
      </c>
      <c r="C13" s="8">
        <f>'Weighted Decision Matrix'!C5</f>
        <v/>
      </c>
      <c r="D13" s="7">
        <f>'Weighted Decision Matrix'!D5</f>
        <v/>
      </c>
      <c r="E13" s="6">
        <f>IF(COUNTIF('Mandatory Safety Gates'!$D$4:$D$17,"Fail")&gt;0,"FAIL",IF(COUNTIF('Mandatory Safety Gates'!$D$4:$D$17,"Data Required")+COUNTIF('Mandatory Safety Gates'!$D$4:$D$17,"Not Assessed")&gt;0,"BLOCKED - DATA REQUIRED","CONDITIONAL"))</f>
        <v/>
      </c>
      <c r="F13" s="6">
        <f>'Weighted Decision Matrix'!F5</f>
        <v/>
      </c>
    </row>
    <row r="14" ht="30" customHeight="1">
      <c r="A14" s="6" t="inlineStr">
        <is>
          <t>SC-B0-S</t>
        </is>
      </c>
      <c r="B14" s="7">
        <f>'Weighted Decision Matrix'!B6</f>
        <v/>
      </c>
      <c r="C14" s="8">
        <f>'Weighted Decision Matrix'!C6</f>
        <v/>
      </c>
      <c r="D14" s="7">
        <f>'Weighted Decision Matrix'!D6</f>
        <v/>
      </c>
      <c r="E14" s="6">
        <f>IF(COUNTIF('Mandatory Safety Gates'!$E$4:$E$17,"Fail")&gt;0,"FAIL",IF(COUNTIF('Mandatory Safety Gates'!$E$4:$E$17,"Data Required")+COUNTIF('Mandatory Safety Gates'!$E$4:$E$17,"Not Assessed")&gt;0,"BLOCKED - DATA REQUIRED","CONDITIONAL"))</f>
        <v/>
      </c>
      <c r="F14" s="6">
        <f>'Weighted Decision Matrix'!F6</f>
        <v/>
      </c>
    </row>
    <row r="15" ht="30" customHeight="1">
      <c r="A15" s="6" t="inlineStr">
        <is>
          <t>SC-T1-N</t>
        </is>
      </c>
      <c r="B15" s="7">
        <f>'Weighted Decision Matrix'!B7</f>
        <v/>
      </c>
      <c r="C15" s="8">
        <f>'Weighted Decision Matrix'!C7</f>
        <v/>
      </c>
      <c r="D15" s="7">
        <f>'Weighted Decision Matrix'!D7</f>
        <v/>
      </c>
      <c r="E15" s="6">
        <f>IF(COUNTIF('Mandatory Safety Gates'!$F$4:$F$17,"Fail")&gt;0,"FAIL",IF(COUNTIF('Mandatory Safety Gates'!$F$4:$F$17,"Data Required")+COUNTIF('Mandatory Safety Gates'!$F$4:$F$17,"Not Assessed")&gt;0,"BLOCKED - DATA REQUIRED","CONDITIONAL"))</f>
        <v/>
      </c>
      <c r="F15" s="6">
        <f>'Weighted Decision Matrix'!F7</f>
        <v/>
      </c>
    </row>
    <row r="16" ht="30" customHeight="1">
      <c r="A16" s="6" t="inlineStr">
        <is>
          <t>SC-T1-S</t>
        </is>
      </c>
      <c r="B16" s="7">
        <f>'Weighted Decision Matrix'!B8</f>
        <v/>
      </c>
      <c r="C16" s="8">
        <f>'Weighted Decision Matrix'!C8</f>
        <v/>
      </c>
      <c r="D16" s="7">
        <f>'Weighted Decision Matrix'!D8</f>
        <v/>
      </c>
      <c r="E16" s="6">
        <f>IF(COUNTIF('Mandatory Safety Gates'!$G$4:$G$17,"Fail")&gt;0,"FAIL",IF(COUNTIF('Mandatory Safety Gates'!$G$4:$G$17,"Data Required")+COUNTIF('Mandatory Safety Gates'!$G$4:$G$17,"Not Assessed")&gt;0,"BLOCKED - DATA REQUIRED","CONDITIONAL"))</f>
        <v/>
      </c>
      <c r="F16" s="6">
        <f>'Weighted Decision Matrix'!F8</f>
        <v/>
      </c>
    </row>
    <row r="17" ht="30" customHeight="1">
      <c r="A17" s="6" t="inlineStr">
        <is>
          <t>SC-X1-N</t>
        </is>
      </c>
      <c r="B17" s="7">
        <f>'Weighted Decision Matrix'!B9</f>
        <v/>
      </c>
      <c r="C17" s="8">
        <f>'Weighted Decision Matrix'!C9</f>
        <v/>
      </c>
      <c r="D17" s="7">
        <f>'Weighted Decision Matrix'!D9</f>
        <v/>
      </c>
      <c r="E17" s="6">
        <f>IF(COUNTIF('Mandatory Safety Gates'!$H$4:$H$17,"Fail")&gt;0,"FAIL",IF(COUNTIF('Mandatory Safety Gates'!$H$4:$H$17,"Data Required")+COUNTIF('Mandatory Safety Gates'!$H$4:$H$17,"Not Assessed")&gt;0,"BLOCKED - DATA REQUIRED","CONDITIONAL"))</f>
        <v/>
      </c>
      <c r="F17" s="6">
        <f>'Weighted Decision Matrix'!F9</f>
        <v/>
      </c>
    </row>
    <row r="18" ht="30" customHeight="1">
      <c r="A18" s="6" t="inlineStr">
        <is>
          <t>SC-X1-S</t>
        </is>
      </c>
      <c r="B18" s="7">
        <f>'Weighted Decision Matrix'!B10</f>
        <v/>
      </c>
      <c r="C18" s="8">
        <f>'Weighted Decision Matrix'!C10</f>
        <v/>
      </c>
      <c r="D18" s="7">
        <f>'Weighted Decision Matrix'!D10</f>
        <v/>
      </c>
      <c r="E18" s="6">
        <f>IF(COUNTIF('Mandatory Safety Gates'!$I$4:$I$17,"Fail")&gt;0,"FAIL",IF(COUNTIF('Mandatory Safety Gates'!$I$4:$I$17,"Data Required")+COUNTIF('Mandatory Safety Gates'!$I$4:$I$17,"Not Assessed")&gt;0,"BLOCKED - DATA REQUIRED","CONDITIONAL"))</f>
        <v/>
      </c>
      <c r="F18" s="6">
        <f>'Weighted Decision Matrix'!F10</f>
        <v/>
      </c>
    </row>
  </sheetData>
  <mergeCells count="9">
    <mergeCell ref="B7:J7"/>
    <mergeCell ref="A1:J1"/>
    <mergeCell ref="B5:J5"/>
    <mergeCell ref="B10:J10"/>
    <mergeCell ref="B9:J9"/>
    <mergeCell ref="B8:J8"/>
    <mergeCell ref="B4:J4"/>
    <mergeCell ref="A2:J2"/>
    <mergeCell ref="B6:J6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24" customWidth="1" min="3" max="3"/>
    <col width="33" customWidth="1" min="4" max="4"/>
    <col width="38" customWidth="1" min="5" max="5"/>
    <col width="38" customWidth="1" min="6" max="6"/>
    <col width="16" customWidth="1" min="7" max="7"/>
  </cols>
  <sheetData>
    <row r="1" ht="34" customHeight="1">
      <c r="A1" s="1" t="inlineStr">
        <is>
          <t>SmartCross 2.2 Baseline Audit</t>
        </is>
      </c>
    </row>
    <row r="2" ht="30" customHeight="1">
      <c r="A2" s="2" t="inlineStr">
        <is>
          <t>Verification states reflect evidence actually available in this run.</t>
        </is>
      </c>
    </row>
    <row r="3" ht="32" customHeight="1">
      <c r="A3" s="5" t="inlineStr">
        <is>
          <t>Feature</t>
        </is>
      </c>
      <c r="B3" s="5" t="inlineStr">
        <is>
          <t>Observed / repository finding</t>
        </is>
      </c>
      <c r="C3" s="5" t="inlineStr">
        <is>
          <t>Verification status</t>
        </is>
      </c>
      <c r="D3" s="5" t="inlineStr">
        <is>
          <t>Evidence location</t>
        </is>
      </c>
      <c r="E3" s="5" t="inlineStr">
        <is>
          <t>Limitation</t>
        </is>
      </c>
      <c r="F3" s="5" t="inlineStr">
        <is>
          <t>Adaptation implication</t>
        </is>
      </c>
      <c r="G3" s="5" t="inlineStr">
        <is>
          <t>Source ID</t>
        </is>
      </c>
    </row>
    <row r="4" ht="30" customHeight="1">
      <c r="A4" s="6" t="inlineStr">
        <is>
          <t>Crossing geometry</t>
        </is>
      </c>
      <c r="B4" s="6" t="inlineStr">
        <is>
          <t>Straight two-way road with zebra crossing in component/source descriptions</t>
        </is>
      </c>
      <c r="C4" s="6" t="inlineStr">
        <is>
          <t>Verified in repository</t>
        </is>
      </c>
      <c r="D4" s="6" t="inlineStr">
        <is>
          <t>components/crossing-view.tsx; README.md</t>
        </is>
      </c>
      <c r="E4" s="6" t="inlineStr">
        <is>
          <t>Live visual not inspected</t>
        </is>
      </c>
      <c r="F4" s="6" t="inlineStr">
        <is>
          <t>Treat SC-B0 as simulator baseline, not surveyed geometry</t>
        </is>
      </c>
      <c r="G4" s="6" t="inlineStr">
        <is>
          <t>SRC-01</t>
        </is>
      </c>
    </row>
    <row r="5" ht="30" customHeight="1">
      <c r="A5" s="6" t="inlineStr">
        <is>
          <t>Normal mode</t>
        </is>
      </c>
      <c r="B5" s="6" t="inlineStr">
        <is>
          <t>Normal zebra crossing; one no-violation plus 19 violation conditions = 20 conditions</t>
        </is>
      </c>
      <c r="C5" s="6" t="inlineStr">
        <is>
          <t>Verified in repository</t>
        </is>
      </c>
      <c r="D5" s="6" t="inlineStr">
        <is>
          <t>components/dashboard.tsx; lib/simulation.ts</t>
        </is>
      </c>
      <c r="E5" s="6" t="inlineStr">
        <is>
          <t>Counts derived from source; live menu not visually checked</t>
        </is>
      </c>
      <c r="F5" s="6" t="inlineStr">
        <is>
          <t>Reuse mode taxonomy</t>
        </is>
      </c>
      <c r="G5" s="6" t="inlineStr">
        <is>
          <t>SRC-01</t>
        </is>
      </c>
    </row>
    <row r="6" ht="30" customHeight="1">
      <c r="A6" s="6" t="inlineStr">
        <is>
          <t>School mode</t>
        </is>
      </c>
      <c r="B6" s="6" t="inlineStr">
        <is>
          <t>School crossing; one no-violation plus 20 violations = 21 conditions</t>
        </is>
      </c>
      <c r="C6" s="6" t="inlineStr">
        <is>
          <t>Verified in repository</t>
        </is>
      </c>
      <c r="D6" s="6" t="inlineStr">
        <is>
          <t>components/dashboard.tsx; lib/simulation.ts</t>
        </is>
      </c>
      <c r="E6" s="6" t="inlineStr">
        <is>
          <t>Live rendering not visually checked</t>
        </is>
      </c>
      <c r="F6" s="6" t="inlineStr">
        <is>
          <t>Add junction-specific school refinements only</t>
        </is>
      </c>
      <c r="G6" s="6" t="inlineStr">
        <is>
          <t>SRC-01</t>
        </is>
      </c>
    </row>
    <row r="7" ht="30" customHeight="1">
      <c r="A7" s="6" t="inlineStr">
        <is>
          <t>Protected WALK</t>
        </is>
      </c>
      <c r="B7" s="6" t="inlineStr">
        <is>
          <t>WALK released only when conflicting vehicles are STOP/route clear</t>
        </is>
      </c>
      <c r="C7" s="6" t="inlineStr">
        <is>
          <t>Verified in repository</t>
        </is>
      </c>
      <c r="D7" s="6" t="inlineStr">
        <is>
          <t>lib/motion.ts; README.md</t>
        </is>
      </c>
      <c r="E7" s="6" t="inlineStr">
        <is>
          <t>Physical controller not integrated</t>
        </is>
      </c>
      <c r="F7" s="6" t="inlineStr">
        <is>
          <t>Hard invariant for SC-T1/SC-X1</t>
        </is>
      </c>
      <c r="G7" s="6" t="inlineStr">
        <is>
          <t>SRC-01</t>
        </is>
      </c>
    </row>
    <row r="8" ht="30" customHeight="1">
      <c r="A8" s="6" t="inlineStr">
        <is>
          <t>Seven stages</t>
        </is>
      </c>
      <c r="B8" s="6" t="inlineStr">
        <is>
          <t>Approach, Initiation, Detected, Escalation, Conflict, Response, Outcome</t>
        </is>
      </c>
      <c r="C8" s="6" t="inlineStr">
        <is>
          <t>Verified in repository</t>
        </is>
      </c>
      <c r="D8" s="6" t="inlineStr">
        <is>
          <t>lib/types.ts</t>
        </is>
      </c>
      <c r="E8" s="6" t="inlineStr">
        <is>
          <t>Simulation sequence only</t>
        </is>
      </c>
      <c r="F8" s="6" t="inlineStr">
        <is>
          <t>Retain labels and map every adapted scenario</t>
        </is>
      </c>
      <c r="G8" s="6" t="inlineStr">
        <is>
          <t>SRC-01</t>
        </is>
      </c>
    </row>
    <row r="9" ht="30" customHeight="1">
      <c r="A9" s="6" t="inlineStr">
        <is>
          <t>CCTV evidence</t>
        </is>
      </c>
      <c r="B9" s="6" t="inlineStr">
        <is>
          <t>Synthetic camera/plate evidence for simulated violations</t>
        </is>
      </c>
      <c r="C9" s="6" t="inlineStr">
        <is>
          <t>Verified in repository</t>
        </is>
      </c>
      <c r="D9" s="6" t="inlineStr">
        <is>
          <t>lib/types.ts; components/dashboard.tsx</t>
        </is>
      </c>
      <c r="E9" s="6" t="inlineStr">
        <is>
          <t>No live CCTV or evidential chain</t>
        </is>
      </c>
      <c r="F9" s="6" t="inlineStr">
        <is>
          <t>Legal and privacy gate before ANPR</t>
        </is>
      </c>
      <c r="G9" s="6" t="inlineStr">
        <is>
          <t>SRC-01</t>
        </is>
      </c>
    </row>
    <row r="10" ht="30" customHeight="1">
      <c r="A10" s="6" t="inlineStr">
        <is>
          <t>Event log</t>
        </is>
      </c>
      <c r="B10" s="6" t="inlineStr">
        <is>
          <t>Local action-synchronised event records</t>
        </is>
      </c>
      <c r="C10" s="6" t="inlineStr">
        <is>
          <t>Verified in repository</t>
        </is>
      </c>
      <c r="D10" s="6" t="inlineStr">
        <is>
          <t>components/event-log.tsx; lib/simulation.ts</t>
        </is>
      </c>
      <c r="E10" s="6" t="inlineStr">
        <is>
          <t>Not an operational records system</t>
        </is>
      </c>
      <c r="F10" s="6" t="inlineStr">
        <is>
          <t>Specify retention, integrity and access controls</t>
        </is>
      </c>
      <c r="G10" s="6" t="inlineStr">
        <is>
          <t>SRC-01</t>
        </is>
      </c>
    </row>
    <row r="11" ht="30" customHeight="1">
      <c r="A11" s="6" t="inlineStr">
        <is>
          <t>Incident escalation</t>
        </is>
      </c>
      <c r="B11" s="6" t="inlineStr">
        <is>
          <t>Human confirmation; local mock notifications; no external dispatch</t>
        </is>
      </c>
      <c r="C11" s="6" t="inlineStr">
        <is>
          <t>Verified in repository</t>
        </is>
      </c>
      <c r="D11" s="6" t="inlineStr">
        <is>
          <t>README.md; components/dashboard.tsx</t>
        </is>
      </c>
      <c r="E11" s="6" t="inlineStr">
        <is>
          <t>Not connected to emergency services</t>
        </is>
      </c>
      <c r="F11" s="6" t="inlineStr">
        <is>
          <t>Develop approved SOP and interfaces</t>
        </is>
      </c>
      <c r="G11" s="6" t="inlineStr">
        <is>
          <t>SRC-01</t>
        </is>
      </c>
    </row>
    <row r="12" ht="30" customHeight="1">
      <c r="A12" s="6" t="inlineStr">
        <is>
          <t>PDF reporting</t>
        </is>
      </c>
      <c r="B12" s="6" t="inlineStr">
        <is>
          <t>Offline simulation report generation</t>
        </is>
      </c>
      <c r="C12" s="6" t="inlineStr">
        <is>
          <t>Verified in repository</t>
        </is>
      </c>
      <c r="D12" s="6" t="inlineStr">
        <is>
          <t>lib/pdf-report.ts; components/dashboard.tsx</t>
        </is>
      </c>
      <c r="E12" s="6" t="inlineStr">
        <is>
          <t>Not a statutory incident report</t>
        </is>
      </c>
      <c r="F12" s="6" t="inlineStr">
        <is>
          <t>Add evidence provenance and approval status</t>
        </is>
      </c>
      <c r="G12" s="6" t="inlineStr">
        <is>
          <t>SRC-01</t>
        </is>
      </c>
    </row>
    <row r="13" ht="30" customHeight="1">
      <c r="A13" s="6" t="inlineStr">
        <is>
          <t>Diagnostic Inquiry</t>
        </is>
      </c>
      <c r="B13" s="6" t="inlineStr">
        <is>
          <t>Not established from inspected source set</t>
        </is>
      </c>
      <c r="C13" s="6" t="inlineStr">
        <is>
          <t>Not found</t>
        </is>
      </c>
      <c r="D13" s="6" t="inlineStr">
        <is>
          <t>Repository search</t>
        </is>
      </c>
      <c r="E13" s="6" t="inlineStr">
        <is>
          <t>Could exist in an uninspected deployment state</t>
        </is>
      </c>
      <c r="F13" s="6" t="inlineStr">
        <is>
          <t>Confirm with project owner</t>
        </is>
      </c>
      <c r="G13" s="6" t="inlineStr">
        <is>
          <t>SRC-01</t>
        </is>
      </c>
    </row>
    <row r="14" ht="30" customHeight="1">
      <c r="A14" s="6" t="inlineStr">
        <is>
          <t>Accessibility</t>
        </is>
      </c>
      <c r="B14" s="6" t="inlineStr">
        <is>
          <t>Keyboard/skip-link semantics and wheelchair/elderly/child scenarios are represented</t>
        </is>
      </c>
      <c r="C14" s="6" t="inlineStr">
        <is>
          <t>Partially verified</t>
        </is>
      </c>
      <c r="D14" s="6" t="inlineStr">
        <is>
          <t>components/dashboard.tsx; lib/types.ts</t>
        </is>
      </c>
      <c r="E14" s="6" t="inlineStr">
        <is>
          <t>No field accessibility compliance can be inferred</t>
        </is>
      </c>
      <c r="F14" s="6" t="inlineStr">
        <is>
          <t>Require MS 1184 review and access audit</t>
        </is>
      </c>
      <c r="G14" s="6" t="inlineStr">
        <is>
          <t>SRC-01; SRC-06</t>
        </is>
      </c>
    </row>
    <row r="15" ht="30" customHeight="1">
      <c r="A15" s="6" t="inlineStr">
        <is>
          <t>Authentication</t>
        </is>
      </c>
      <c r="B15" s="6" t="inlineStr">
        <is>
          <t>Server-side demonstration cookie gate; local demo credentials; not production identity</t>
        </is>
      </c>
      <c r="C15" s="6" t="inlineStr">
        <is>
          <t>Verified in repository</t>
        </is>
      </c>
      <c r="D15" s="6" t="inlineStr">
        <is>
          <t>app/page.tsx; lib/demo-auth.ts; README.md</t>
        </is>
      </c>
      <c r="E15" s="6" t="inlineStr">
        <is>
          <t>Live sign-in not tested; credentials not accessed</t>
        </is>
      </c>
      <c r="F15" s="6" t="inlineStr">
        <is>
          <t>Production IAM design required separately</t>
        </is>
      </c>
      <c r="G15" s="6" t="inlineStr">
        <is>
          <t>SRC-01</t>
        </is>
      </c>
    </row>
    <row r="16" ht="30" customHeight="1">
      <c r="A16" s="6" t="inlineStr">
        <is>
          <t>Responsive interface</t>
        </is>
      </c>
      <c r="B16" s="6" t="inlineStr">
        <is>
          <t>Responsive styles/tests referenced</t>
        </is>
      </c>
      <c r="C16" s="6" t="inlineStr">
        <is>
          <t>Partially verified</t>
        </is>
      </c>
      <c r="D16" s="6" t="inlineStr">
        <is>
          <t>app/enhancements.css; tests/e2e</t>
        </is>
      </c>
      <c r="E16" s="6" t="inlineStr">
        <is>
          <t>No browser visual QA in this run</t>
        </is>
      </c>
      <c r="F16" s="6" t="inlineStr">
        <is>
          <t>User acceptance test required</t>
        </is>
      </c>
      <c r="G16" s="6" t="inlineStr">
        <is>
          <t>SRC-01</t>
        </is>
      </c>
    </row>
    <row r="17" ht="30" customHeight="1">
      <c r="A17" s="6" t="inlineStr">
        <is>
          <t>Live application</t>
        </is>
      </c>
      <c r="B17" s="6" t="inlineStr">
        <is>
          <t>Public target URL supplied</t>
        </is>
      </c>
      <c r="C17" s="6" t="inlineStr">
        <is>
          <t>Authentication prevented verification</t>
        </is>
      </c>
      <c r="D17" s="6" t="inlineStr">
        <is>
          <t>Deployment URL</t>
        </is>
      </c>
      <c r="E17" s="6" t="inlineStr">
        <is>
          <t>No connected browser; HTTP fetch did not yield page content</t>
        </is>
      </c>
      <c r="F17" s="6" t="inlineStr">
        <is>
          <t>Do not claim live appearance or behavior</t>
        </is>
      </c>
      <c r="G17" s="6" t="inlineStr">
        <is>
          <t>SRC-02</t>
        </is>
      </c>
    </row>
    <row r="18" ht="30" customHeight="1">
      <c r="A18" s="6" t="inlineStr">
        <is>
          <t>Physical infrastructure</t>
        </is>
      </c>
      <c r="B18" s="6" t="inlineStr">
        <is>
          <t>No live traffic/CCTV/sensor/MPAJ connection</t>
        </is>
      </c>
      <c r="C18" s="6" t="inlineStr">
        <is>
          <t>Verified in repository</t>
        </is>
      </c>
      <c r="D18" s="6" t="inlineStr">
        <is>
          <t>README.md</t>
        </is>
      </c>
      <c r="E18" s="6" t="inlineStr">
        <is>
          <t>Simulation-only</t>
        </is>
      </c>
      <c r="F18" s="6" t="inlineStr">
        <is>
          <t>Every field module remains proposed</t>
        </is>
      </c>
      <c r="G18" s="6" t="inlineStr">
        <is>
          <t>SRC-01</t>
        </is>
      </c>
    </row>
  </sheetData>
  <mergeCells count="2">
    <mergeCell ref="A2:G2"/>
    <mergeCell ref="A1:G1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2" customWidth="1" min="4" max="4"/>
    <col width="45" customWidth="1" min="5" max="5"/>
    <col width="44" customWidth="1" min="6" max="6"/>
    <col width="42" customWidth="1" min="7" max="7"/>
    <col width="24" customWidth="1" min="8" max="8"/>
    <col width="14" customWidth="1" min="9" max="9"/>
  </cols>
  <sheetData>
    <row r="1" ht="34" customHeight="1">
      <c r="A1" s="1" t="inlineStr">
        <is>
          <t>Configuration Register</t>
        </is>
      </c>
    </row>
    <row r="2" ht="30" customHeight="1">
      <c r="A2" s="2" t="inlineStr">
        <is>
          <t>IDs are the shared key used in both Excel and PDF.</t>
        </is>
      </c>
    </row>
    <row r="3" ht="32" customHeight="1">
      <c r="A3" s="5" t="inlineStr">
        <is>
          <t>Variant ID</t>
        </is>
      </c>
      <c r="B3" s="5" t="inlineStr">
        <is>
          <t>Base ID</t>
        </is>
      </c>
      <c r="C3" s="5" t="inlineStr">
        <is>
          <t>Layout</t>
        </is>
      </c>
      <c r="D3" s="5" t="inlineStr">
        <is>
          <t>Mode</t>
        </is>
      </c>
      <c r="E3" s="5" t="inlineStr">
        <is>
          <t>Concept description</t>
        </is>
      </c>
      <c r="F3" s="5" t="inlineStr">
        <is>
          <t>Pedestrian-control concept</t>
        </is>
      </c>
      <c r="G3" s="5" t="inlineStr">
        <is>
          <t>Current decision</t>
        </is>
      </c>
      <c r="H3" s="5" t="inlineStr">
        <is>
          <t>Evidence state</t>
        </is>
      </c>
      <c r="I3" s="5" t="inlineStr">
        <is>
          <t>Drawing scale</t>
        </is>
      </c>
    </row>
    <row r="4" ht="30" customHeight="1">
      <c r="A4" s="6" t="inlineStr">
        <is>
          <t>SC-B0-N</t>
        </is>
      </c>
      <c r="B4" s="6" t="inlineStr">
        <is>
          <t>SC-B0</t>
        </is>
      </c>
      <c r="C4" s="6" t="inlineStr">
        <is>
          <t>Baseline</t>
        </is>
      </c>
      <c r="D4" s="6" t="inlineStr">
        <is>
          <t>Normal</t>
        </is>
      </c>
      <c r="E4" s="6" t="inlineStr">
        <is>
          <t>Existing straight-road SmartCross 2.2 simulator reference</t>
        </is>
      </c>
      <c r="F4" s="6" t="inlineStr">
        <is>
          <t>Existing protected WALK simulation sequence</t>
        </is>
      </c>
      <c r="G4" s="6" t="inlineStr">
        <is>
          <t>Simulation baseline only - not a field design</t>
        </is>
      </c>
      <c r="H4" s="6" t="inlineStr">
        <is>
          <t>Preliminary / data required</t>
        </is>
      </c>
      <c r="I4" s="6" t="inlineStr">
        <is>
          <t>Not to Scale</t>
        </is>
      </c>
    </row>
    <row r="5" ht="30" customHeight="1">
      <c r="A5" s="6" t="inlineStr">
        <is>
          <t>SC-B0-S</t>
        </is>
      </c>
      <c r="B5" s="6" t="inlineStr">
        <is>
          <t>SC-B0</t>
        </is>
      </c>
      <c r="C5" s="6" t="inlineStr">
        <is>
          <t>Baseline</t>
        </is>
      </c>
      <c r="D5" s="6" t="inlineStr">
        <is>
          <t>School</t>
        </is>
      </c>
      <c r="E5" s="6" t="inlineStr">
        <is>
          <t>Existing school-frontage simulator reference</t>
        </is>
      </c>
      <c r="F5" s="6" t="inlineStr">
        <is>
          <t>Existing protected WALK simulation sequence</t>
        </is>
      </c>
      <c r="G5" s="6" t="inlineStr">
        <is>
          <t>Simulation baseline only - not a field design</t>
        </is>
      </c>
      <c r="H5" s="6" t="inlineStr">
        <is>
          <t>Preliminary / data required</t>
        </is>
      </c>
      <c r="I5" s="6" t="inlineStr">
        <is>
          <t>Not to Scale</t>
        </is>
      </c>
    </row>
    <row r="6" ht="30" customHeight="1">
      <c r="A6" s="6" t="inlineStr">
        <is>
          <t>SC-T1-N</t>
        </is>
      </c>
      <c r="B6" s="6" t="inlineStr">
        <is>
          <t>SC-T1</t>
        </is>
      </c>
      <c r="C6" s="6" t="inlineStr">
        <is>
          <t>Three-arm T-junction</t>
        </is>
      </c>
      <c r="D6" s="6" t="inlineStr">
        <is>
          <t>Normal</t>
        </is>
      </c>
      <c r="E6" s="6" t="inlineStr">
        <is>
          <t>Major-road through movement plus one side-road approach</t>
        </is>
      </c>
      <c r="F6" s="6" t="inlineStr">
        <is>
          <t>Setback crossings; fully control conflicting turns during WALK</t>
        </is>
      </c>
      <c r="G6" s="6" t="inlineStr">
        <is>
          <t>Suitable subject to additional evidence</t>
        </is>
      </c>
      <c r="H6" s="6" t="inlineStr">
        <is>
          <t>Preliminary / data required</t>
        </is>
      </c>
      <c r="I6" s="6" t="inlineStr">
        <is>
          <t>Not to Scale</t>
        </is>
      </c>
    </row>
    <row r="7" ht="30" customHeight="1">
      <c r="A7" s="6" t="inlineStr">
        <is>
          <t>SC-T1-S</t>
        </is>
      </c>
      <c r="B7" s="6" t="inlineStr">
        <is>
          <t>SC-T1</t>
        </is>
      </c>
      <c r="C7" s="6" t="inlineStr">
        <is>
          <t>Three-arm T-junction</t>
        </is>
      </c>
      <c r="D7" s="6" t="inlineStr">
        <is>
          <t>School</t>
        </is>
      </c>
      <c r="E7" s="6" t="inlineStr">
        <is>
          <t>T-junction with school-period holding and parking controls</t>
        </is>
      </c>
      <c r="F7" s="6" t="inlineStr">
        <is>
          <t>Setback crossings; fully control conflicting turns during WALK</t>
        </is>
      </c>
      <c r="G7" s="6" t="inlineStr">
        <is>
          <t>Suitable subject to site modification</t>
        </is>
      </c>
      <c r="H7" s="6" t="inlineStr">
        <is>
          <t>Preliminary / data required</t>
        </is>
      </c>
      <c r="I7" s="6" t="inlineStr">
        <is>
          <t>Not to Scale</t>
        </is>
      </c>
    </row>
    <row r="8" ht="30" customHeight="1">
      <c r="A8" s="6" t="inlineStr">
        <is>
          <t>SC-X1-N</t>
        </is>
      </c>
      <c r="B8" s="6" t="inlineStr">
        <is>
          <t>SC-X1</t>
        </is>
      </c>
      <c r="C8" s="6" t="inlineStr">
        <is>
          <t>Four-arm crossroads</t>
        </is>
      </c>
      <c r="D8" s="6" t="inlineStr">
        <is>
          <t>Normal</t>
        </is>
      </c>
      <c r="E8" s="6" t="inlineStr">
        <is>
          <t>Crossroads with protected pedestrian phase options</t>
        </is>
      </c>
      <c r="F8" s="6" t="inlineStr">
        <is>
          <t>Fully protected pedestrian phase preferred for pilot screening</t>
        </is>
      </c>
      <c r="G8" s="6" t="inlineStr">
        <is>
          <t>Suitable only for specific MPAJ location types</t>
        </is>
      </c>
      <c r="H8" s="6" t="inlineStr">
        <is>
          <t>Preliminary / data required</t>
        </is>
      </c>
      <c r="I8" s="6" t="inlineStr">
        <is>
          <t>Not to Scale</t>
        </is>
      </c>
    </row>
    <row r="9" ht="30" customHeight="1">
      <c r="A9" s="6" t="inlineStr">
        <is>
          <t>SC-X1-S</t>
        </is>
      </c>
      <c r="B9" s="6" t="inlineStr">
        <is>
          <t>SC-X1</t>
        </is>
      </c>
      <c r="C9" s="6" t="inlineStr">
        <is>
          <t>Four-arm crossroads</t>
        </is>
      </c>
      <c r="D9" s="6" t="inlineStr">
        <is>
          <t>School</t>
        </is>
      </c>
      <c r="E9" s="6" t="inlineStr">
        <is>
          <t>Crossroads with school-period group detection and full protection</t>
        </is>
      </c>
      <c r="F9" s="6" t="inlineStr">
        <is>
          <t>Fully protected pedestrian phase preferred for pilot screening</t>
        </is>
      </c>
      <c r="G9" s="6" t="inlineStr">
        <is>
          <t>Suitable subject to additional evidence</t>
        </is>
      </c>
      <c r="H9" s="6" t="inlineStr">
        <is>
          <t>Preliminary / data required</t>
        </is>
      </c>
      <c r="I9" s="6" t="inlineStr">
        <is>
          <t>Not to Scale</t>
        </is>
      </c>
    </row>
  </sheetData>
  <mergeCells count="2">
    <mergeCell ref="A1:I1"/>
    <mergeCell ref="A2:I2"/>
  </mergeCells>
  <dataValidations count="1">
    <dataValidation sqref="A4:A9" showDropDown="0" showInputMessage="0" showErrorMessage="0" allowBlank="1" type="list">
      <formula1>"SC-B0-N,SC-B0-S,SC-T1-N,SC-T1-S,SC-X1-N,SC-X1-S"</formula1>
    </dataValidation>
  </dataValidation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9" customWidth="1" min="3" max="3"/>
    <col width="12" customWidth="1" min="4" max="4"/>
    <col width="45" customWidth="1" min="5" max="5"/>
    <col width="11" customWidth="1" min="6" max="6"/>
    <col width="54" customWidth="1" min="7" max="7"/>
  </cols>
  <sheetData>
    <row r="1" ht="34" customHeight="1">
      <c r="A1" s="1" t="inlineStr">
        <is>
          <t>Criteria and Weights</t>
        </is>
      </c>
    </row>
    <row r="2" ht="30" customHeight="1">
      <c r="A2" s="2" t="inlineStr">
        <is>
          <t>Yellow cells are editable inputs. Weight total must equal 100%.</t>
        </is>
      </c>
    </row>
    <row r="3" ht="30" customHeight="1">
      <c r="A3" t="inlineStr">
        <is>
          <t>Weight total</t>
        </is>
      </c>
      <c r="B3" s="9">
        <f>SUM(D6:D28)</f>
        <v/>
      </c>
      <c r="D3" t="inlineStr">
        <is>
          <t>Control</t>
        </is>
      </c>
      <c r="E3" s="10">
        <f>IF(ABS(B3-1)&lt;0.000001,"PASS","REVIEW WEIGHTS")</f>
        <v/>
      </c>
    </row>
    <row r="4" ht="30" customHeight="1"/>
    <row r="5" ht="32" customHeight="1">
      <c r="A5" s="5" t="inlineStr">
        <is>
          <t>Criterion ID</t>
        </is>
      </c>
      <c r="B5" s="5" t="inlineStr">
        <is>
          <t>Group</t>
        </is>
      </c>
      <c r="C5" s="5" t="inlineStr">
        <is>
          <t>Criterion</t>
        </is>
      </c>
      <c r="D5" s="5" t="inlineStr">
        <is>
          <t>Weight</t>
        </is>
      </c>
      <c r="E5" s="5" t="inlineStr">
        <is>
          <t>Required evidence</t>
        </is>
      </c>
      <c r="F5" s="5" t="inlineStr">
        <is>
          <t>Editable?</t>
        </is>
      </c>
      <c r="G5" s="5" t="inlineStr">
        <is>
          <t>Scoring definition</t>
        </is>
      </c>
    </row>
    <row r="6" ht="30" customHeight="1">
      <c r="A6" s="6" t="inlineStr">
        <is>
          <t>C01</t>
        </is>
      </c>
      <c r="B6" s="6" t="inlineStr">
        <is>
          <t>Demand</t>
        </is>
      </c>
      <c r="C6" s="6" t="inlineStr">
        <is>
          <t>Pedestrian demand</t>
        </is>
      </c>
      <c r="D6" s="11" t="n">
        <v>0.06</v>
      </c>
      <c r="E6" s="6" t="inlineStr">
        <is>
          <t>Counts by direction/user type and desire lines</t>
        </is>
      </c>
      <c r="F6" s="6" t="inlineStr">
        <is>
          <t>Yes</t>
        </is>
      </c>
      <c r="G6" s="6" t="inlineStr">
        <is>
          <t>1 Very unsuitable | 2 Weak | 3 Conditional | 4 Suitable | 5 Highly suitable</t>
        </is>
      </c>
    </row>
    <row r="7" ht="30" customHeight="1">
      <c r="A7" s="6" t="inlineStr">
        <is>
          <t>C02</t>
        </is>
      </c>
      <c r="B7" s="6" t="inlineStr">
        <is>
          <t>Demand</t>
        </is>
      </c>
      <c r="C7" s="6" t="inlineStr">
        <is>
          <t>Vehicle demand</t>
        </is>
      </c>
      <c r="D7" s="11" t="n">
        <v>0.04</v>
      </c>
      <c r="E7" s="6" t="inlineStr">
        <is>
          <t>Approach and turning counts, classes and queues</t>
        </is>
      </c>
      <c r="F7" s="6" t="inlineStr">
        <is>
          <t>Yes</t>
        </is>
      </c>
      <c r="G7" s="6" t="inlineStr">
        <is>
          <t>1 Very unsuitable | 2 Weak | 3 Conditional | 4 Suitable | 5 Highly suitable</t>
        </is>
      </c>
    </row>
    <row r="8" ht="30" customHeight="1">
      <c r="A8" s="6" t="inlineStr">
        <is>
          <t>C03</t>
        </is>
      </c>
      <c r="B8" s="6" t="inlineStr">
        <is>
          <t>Safety</t>
        </is>
      </c>
      <c r="C8" s="6" t="inlineStr">
        <is>
          <t>Operating speed</t>
        </is>
      </c>
      <c r="D8" s="11" t="n">
        <v>0.06</v>
      </c>
      <c r="E8" s="6" t="inlineStr">
        <is>
          <t>Posted, mean and 85th-percentile speed</t>
        </is>
      </c>
      <c r="F8" s="6" t="inlineStr">
        <is>
          <t>Yes</t>
        </is>
      </c>
      <c r="G8" s="6" t="inlineStr">
        <is>
          <t>1 Very unsuitable | 2 Weak | 3 Conditional | 4 Suitable | 5 Highly suitable</t>
        </is>
      </c>
    </row>
    <row r="9" ht="30" customHeight="1">
      <c r="A9" s="6" t="inlineStr">
        <is>
          <t>C04</t>
        </is>
      </c>
      <c r="B9" s="6" t="inlineStr">
        <is>
          <t>Safety</t>
        </is>
      </c>
      <c r="C9" s="6" t="inlineStr">
        <is>
          <t>Safety history</t>
        </is>
      </c>
      <c r="D9" s="11" t="n">
        <v>0.07000000000000001</v>
      </c>
      <c r="E9" s="6" t="inlineStr">
        <is>
          <t>Crashes, injuries, near misses and complaints</t>
        </is>
      </c>
      <c r="F9" s="6" t="inlineStr">
        <is>
          <t>Yes</t>
        </is>
      </c>
      <c r="G9" s="6" t="inlineStr">
        <is>
          <t>1 Very unsuitable | 2 Weak | 3 Conditional | 4 Suitable | 5 Highly suitable</t>
        </is>
      </c>
    </row>
    <row r="10" ht="30" customHeight="1">
      <c r="A10" s="6" t="inlineStr">
        <is>
          <t>C05</t>
        </is>
      </c>
      <c r="B10" s="6" t="inlineStr">
        <is>
          <t>Safety</t>
        </is>
      </c>
      <c r="C10" s="6" t="inlineStr">
        <is>
          <t>Conflict complexity</t>
        </is>
      </c>
      <c r="D10" s="11" t="n">
        <v>0.07000000000000001</v>
      </c>
      <c r="E10" s="6" t="inlineStr">
        <is>
          <t>Number, exposure and severity of movements</t>
        </is>
      </c>
      <c r="F10" s="6" t="inlineStr">
        <is>
          <t>Yes</t>
        </is>
      </c>
      <c r="G10" s="6" t="inlineStr">
        <is>
          <t>1 Very unsuitable | 2 Weak | 3 Conditional | 4 Suitable | 5 Highly suitable</t>
        </is>
      </c>
    </row>
    <row r="11" ht="30" customHeight="1">
      <c r="A11" s="6" t="inlineStr">
        <is>
          <t>C06</t>
        </is>
      </c>
      <c r="B11" s="6" t="inlineStr">
        <is>
          <t>Geometry</t>
        </is>
      </c>
      <c r="C11" s="6" t="inlineStr">
        <is>
          <t>Geometry and visibility</t>
        </is>
      </c>
      <c r="D11" s="11" t="n">
        <v>0.06</v>
      </c>
      <c r="E11" s="6" t="inlineStr">
        <is>
          <t>Width, distance, grade, drainage and sight distance</t>
        </is>
      </c>
      <c r="F11" s="6" t="inlineStr">
        <is>
          <t>Yes</t>
        </is>
      </c>
      <c r="G11" s="6" t="inlineStr">
        <is>
          <t>1 Very unsuitable | 2 Weak | 3 Conditional | 4 Suitable | 5 Highly suitable</t>
        </is>
      </c>
    </row>
    <row r="12" ht="30" customHeight="1">
      <c r="A12" s="6" t="inlineStr">
        <is>
          <t>C07</t>
        </is>
      </c>
      <c r="B12" s="6" t="inlineStr">
        <is>
          <t>Operations</t>
        </is>
      </c>
      <c r="C12" s="6" t="inlineStr">
        <is>
          <t>Signal operation</t>
        </is>
      </c>
      <c r="D12" s="11" t="n">
        <v>0.05</v>
      </c>
      <c r="E12" s="6" t="inlineStr">
        <is>
          <t>Controller, phases, intergreen and coordination</t>
        </is>
      </c>
      <c r="F12" s="6" t="inlineStr">
        <is>
          <t>Yes</t>
        </is>
      </c>
      <c r="G12" s="6" t="inlineStr">
        <is>
          <t>1 Very unsuitable | 2 Weak | 3 Conditional | 4 Suitable | 5 Highly suitable</t>
        </is>
      </c>
    </row>
    <row r="13" ht="30" customHeight="1">
      <c r="A13" s="6" t="inlineStr">
        <is>
          <t>C08</t>
        </is>
      </c>
      <c r="B13" s="6" t="inlineStr">
        <is>
          <t>Inclusion</t>
        </is>
      </c>
      <c r="C13" s="6" t="inlineStr">
        <is>
          <t>Accessibility</t>
        </is>
      </c>
      <c r="D13" s="11" t="n">
        <v>0.06</v>
      </c>
      <c r="E13" s="6" t="inlineStr">
        <is>
          <t>Continuous accessible route and usable indications</t>
        </is>
      </c>
      <c r="F13" s="6" t="inlineStr">
        <is>
          <t>Yes</t>
        </is>
      </c>
      <c r="G13" s="6" t="inlineStr">
        <is>
          <t>1 Very unsuitable | 2 Weak | 3 Conditional | 4 Suitable | 5 Highly suitable</t>
        </is>
      </c>
    </row>
    <row r="14" ht="30" customHeight="1">
      <c r="A14" s="6" t="inlineStr">
        <is>
          <t>C09</t>
        </is>
      </c>
      <c r="B14" s="6" t="inlineStr">
        <is>
          <t>Context</t>
        </is>
      </c>
      <c r="C14" s="6" t="inlineStr">
        <is>
          <t>School-zone suitability</t>
        </is>
      </c>
      <c r="D14" s="11" t="n">
        <v>0.04</v>
      </c>
      <c r="E14" s="6" t="inlineStr">
        <is>
          <t>Children, supervision, buses and parking</t>
        </is>
      </c>
      <c r="F14" s="6" t="inlineStr">
        <is>
          <t>Yes</t>
        </is>
      </c>
      <c r="G14" s="6" t="inlineStr">
        <is>
          <t>1 Very unsuitable | 2 Weak | 3 Conditional | 4 Suitable | 5 Highly suitable</t>
        </is>
      </c>
    </row>
    <row r="15" ht="30" customHeight="1">
      <c r="A15" s="6" t="inlineStr">
        <is>
          <t>C10</t>
        </is>
      </c>
      <c r="B15" s="6" t="inlineStr">
        <is>
          <t>Context</t>
        </is>
      </c>
      <c r="C15" s="6" t="inlineStr">
        <is>
          <t>Public-transport access</t>
        </is>
      </c>
      <c r="D15" s="11" t="n">
        <v>0.03</v>
      </c>
      <c r="E15" s="6" t="inlineStr">
        <is>
          <t>LRT/bus demand and last-mile routes</t>
        </is>
      </c>
      <c r="F15" s="6" t="inlineStr">
        <is>
          <t>Yes</t>
        </is>
      </c>
      <c r="G15" s="6" t="inlineStr">
        <is>
          <t>1 Very unsuitable | 2 Weak | 3 Conditional | 4 Suitable | 5 Highly suitable</t>
        </is>
      </c>
    </row>
    <row r="16" ht="30" customHeight="1">
      <c r="A16" s="6" t="inlineStr">
        <is>
          <t>C11</t>
        </is>
      </c>
      <c r="B16" s="6" t="inlineStr">
        <is>
          <t>Operations</t>
        </is>
      </c>
      <c r="C16" s="6" t="inlineStr">
        <is>
          <t>Emergency access</t>
        </is>
      </c>
      <c r="D16" s="11" t="n">
        <v>0.03</v>
      </c>
      <c r="E16" s="6" t="inlineStr">
        <is>
          <t>Priority operation and route continuity</t>
        </is>
      </c>
      <c r="F16" s="6" t="inlineStr">
        <is>
          <t>Yes</t>
        </is>
      </c>
      <c r="G16" s="6" t="inlineStr">
        <is>
          <t>1 Very unsuitable | 2 Weak | 3 Conditional | 4 Suitable | 5 Highly suitable</t>
        </is>
      </c>
    </row>
    <row r="17" ht="30" customHeight="1">
      <c r="A17" s="6" t="inlineStr">
        <is>
          <t>C12</t>
        </is>
      </c>
      <c r="B17" s="6" t="inlineStr">
        <is>
          <t>Technology</t>
        </is>
      </c>
      <c r="C17" s="6" t="inlineStr">
        <is>
          <t>Infrastructure readiness</t>
        </is>
      </c>
      <c r="D17" s="11" t="n">
        <v>0.04</v>
      </c>
      <c r="E17" s="6" t="inlineStr">
        <is>
          <t>Power, comms, drainage, poles and cabinets</t>
        </is>
      </c>
      <c r="F17" s="6" t="inlineStr">
        <is>
          <t>Yes</t>
        </is>
      </c>
      <c r="G17" s="6" t="inlineStr">
        <is>
          <t>1 Very unsuitable | 2 Weak | 3 Conditional | 4 Suitable | 5 Highly suitable</t>
        </is>
      </c>
    </row>
    <row r="18" ht="30" customHeight="1">
      <c r="A18" s="6" t="inlineStr">
        <is>
          <t>C13</t>
        </is>
      </c>
      <c r="B18" s="6" t="inlineStr">
        <is>
          <t>Technology</t>
        </is>
      </c>
      <c r="C18" s="6" t="inlineStr">
        <is>
          <t>AI detection performance</t>
        </is>
      </c>
      <c r="D18" s="11" t="n">
        <v>0.04</v>
      </c>
      <c r="E18" s="6" t="inlineStr">
        <is>
          <t>Accuracy, latency, occlusion, night and weather</t>
        </is>
      </c>
      <c r="F18" s="6" t="inlineStr">
        <is>
          <t>Yes</t>
        </is>
      </c>
      <c r="G18" s="6" t="inlineStr">
        <is>
          <t>1 Very unsuitable | 2 Weak | 3 Conditional | 4 Suitable | 5 Highly suitable</t>
        </is>
      </c>
    </row>
    <row r="19" ht="30" customHeight="1">
      <c r="A19" s="6" t="inlineStr">
        <is>
          <t>C14</t>
        </is>
      </c>
      <c r="B19" s="6" t="inlineStr">
        <is>
          <t>Governance</t>
        </is>
      </c>
      <c r="C19" s="6" t="inlineStr">
        <is>
          <t>Enforcement capability</t>
        </is>
      </c>
      <c r="D19" s="11" t="n">
        <v>0.03</v>
      </c>
      <c r="E19" s="6" t="inlineStr">
        <is>
          <t>Authority and evidential process</t>
        </is>
      </c>
      <c r="F19" s="6" t="inlineStr">
        <is>
          <t>Yes</t>
        </is>
      </c>
      <c r="G19" s="6" t="inlineStr">
        <is>
          <t>1 Very unsuitable | 2 Weak | 3 Conditional | 4 Suitable | 5 Highly suitable</t>
        </is>
      </c>
    </row>
    <row r="20" ht="30" customHeight="1">
      <c r="A20" s="6" t="inlineStr">
        <is>
          <t>C15</t>
        </is>
      </c>
      <c r="B20" s="6" t="inlineStr">
        <is>
          <t>Governance</t>
        </is>
      </c>
      <c r="C20" s="6" t="inlineStr">
        <is>
          <t>Privacy</t>
        </is>
      </c>
      <c r="D20" s="11" t="n">
        <v>0.04</v>
      </c>
      <c r="E20" s="6" t="inlineStr">
        <is>
          <t>Purpose, minimisation, retention and access</t>
        </is>
      </c>
      <c r="F20" s="6" t="inlineStr">
        <is>
          <t>Yes</t>
        </is>
      </c>
      <c r="G20" s="6" t="inlineStr">
        <is>
          <t>1 Very unsuitable | 2 Weak | 3 Conditional | 4 Suitable | 5 Highly suitable</t>
        </is>
      </c>
    </row>
    <row r="21" ht="30" customHeight="1">
      <c r="A21" s="6" t="inlineStr">
        <is>
          <t>C16</t>
        </is>
      </c>
      <c r="B21" s="6" t="inlineStr">
        <is>
          <t>Governance</t>
        </is>
      </c>
      <c r="C21" s="6" t="inlineStr">
        <is>
          <t>Cybersecurity</t>
        </is>
      </c>
      <c r="D21" s="11" t="n">
        <v>0.04</v>
      </c>
      <c r="E21" s="6" t="inlineStr">
        <is>
          <t>Segmentation, hardening, logs and updates</t>
        </is>
      </c>
      <c r="F21" s="6" t="inlineStr">
        <is>
          <t>Yes</t>
        </is>
      </c>
      <c r="G21" s="6" t="inlineStr">
        <is>
          <t>1 Very unsuitable | 2 Weak | 3 Conditional | 4 Suitable | 5 Highly suitable</t>
        </is>
      </c>
    </row>
    <row r="22" ht="30" customHeight="1">
      <c r="A22" s="6" t="inlineStr">
        <is>
          <t>C17</t>
        </is>
      </c>
      <c r="B22" s="6" t="inlineStr">
        <is>
          <t>Delivery</t>
        </is>
      </c>
      <c r="C22" s="6" t="inlineStr">
        <is>
          <t>Maintainability</t>
        </is>
      </c>
      <c r="D22" s="11" t="n">
        <v>0.04</v>
      </c>
      <c r="E22" s="6" t="inlineStr">
        <is>
          <t>Cleaning, calibration, skills and response time</t>
        </is>
      </c>
      <c r="F22" s="6" t="inlineStr">
        <is>
          <t>Yes</t>
        </is>
      </c>
      <c r="G22" s="6" t="inlineStr">
        <is>
          <t>1 Very unsuitable | 2 Weak | 3 Conditional | 4 Suitable | 5 Highly suitable</t>
        </is>
      </c>
    </row>
    <row r="23" ht="30" customHeight="1">
      <c r="A23" s="6" t="inlineStr">
        <is>
          <t>C18</t>
        </is>
      </c>
      <c r="B23" s="6" t="inlineStr">
        <is>
          <t>Delivery</t>
        </is>
      </c>
      <c r="C23" s="6" t="inlineStr">
        <is>
          <t>Installation cost</t>
        </is>
      </c>
      <c r="D23" s="11" t="n">
        <v>0.03</v>
      </c>
      <c r="E23" s="6" t="inlineStr">
        <is>
          <t>Civil, electrical, signal and sensing affordability</t>
        </is>
      </c>
      <c r="F23" s="6" t="inlineStr">
        <is>
          <t>Yes</t>
        </is>
      </c>
      <c r="G23" s="6" t="inlineStr">
        <is>
          <t>1 Very unsuitable | 2 Weak | 3 Conditional | 4 Suitable | 5 Highly suitable</t>
        </is>
      </c>
    </row>
    <row r="24" ht="30" customHeight="1">
      <c r="A24" s="6" t="inlineStr">
        <is>
          <t>C19</t>
        </is>
      </c>
      <c r="B24" s="6" t="inlineStr">
        <is>
          <t>Delivery</t>
        </is>
      </c>
      <c r="C24" s="6" t="inlineStr">
        <is>
          <t>Operating cost</t>
        </is>
      </c>
      <c r="D24" s="11" t="n">
        <v>0.02</v>
      </c>
      <c r="E24" s="6" t="inlineStr">
        <is>
          <t>Connectivity, licensing, maintenance and replacement</t>
        </is>
      </c>
      <c r="F24" s="6" t="inlineStr">
        <is>
          <t>Yes</t>
        </is>
      </c>
      <c r="G24" s="6" t="inlineStr">
        <is>
          <t>1 Very unsuitable | 2 Weak | 3 Conditional | 4 Suitable | 5 Highly suitable</t>
        </is>
      </c>
    </row>
    <row r="25" ht="30" customHeight="1">
      <c r="A25" s="6" t="inlineStr">
        <is>
          <t>C20</t>
        </is>
      </c>
      <c r="B25" s="6" t="inlineStr">
        <is>
          <t>Operations</t>
        </is>
      </c>
      <c r="C25" s="6" t="inlineStr">
        <is>
          <t>Traffic impact</t>
        </is>
      </c>
      <c r="D25" s="11" t="n">
        <v>0.04</v>
      </c>
      <c r="E25" s="6" t="inlineStr">
        <is>
          <t>Delay, queue spillback, diversion and capacity</t>
        </is>
      </c>
      <c r="F25" s="6" t="inlineStr">
        <is>
          <t>Yes</t>
        </is>
      </c>
      <c r="G25" s="6" t="inlineStr">
        <is>
          <t>1 Very unsuitable | 2 Weak | 3 Conditional | 4 Suitable | 5 Highly suitable</t>
        </is>
      </c>
    </row>
    <row r="26" ht="30" customHeight="1">
      <c r="A26" s="6" t="inlineStr">
        <is>
          <t>C21</t>
        </is>
      </c>
      <c r="B26" s="6" t="inlineStr">
        <is>
          <t>Technology</t>
        </is>
      </c>
      <c r="C26" s="6" t="inlineStr">
        <is>
          <t>SmartCross compatibility</t>
        </is>
      </c>
      <c r="D26" s="11" t="n">
        <v>0.04</v>
      </c>
      <c r="E26" s="6" t="inlineStr">
        <is>
          <t>Scenario, timeline, logs, reports and UI reuse</t>
        </is>
      </c>
      <c r="F26" s="6" t="inlineStr">
        <is>
          <t>Yes</t>
        </is>
      </c>
      <c r="G26" s="6" t="inlineStr">
        <is>
          <t>1 Very unsuitable | 2 Weak | 3 Conditional | 4 Suitable | 5 Highly suitable</t>
        </is>
      </c>
    </row>
    <row r="27" ht="30" customHeight="1">
      <c r="A27" s="6" t="inlineStr">
        <is>
          <t>C22</t>
        </is>
      </c>
      <c r="B27" s="6" t="inlineStr">
        <is>
          <t>Delivery</t>
        </is>
      </c>
      <c r="C27" s="6" t="inlineStr">
        <is>
          <t>Scalability</t>
        </is>
      </c>
      <c r="D27" s="11" t="n">
        <v>0.03</v>
      </c>
      <c r="E27" s="6" t="inlineStr">
        <is>
          <t>Repeatability across suitable MPAJ locations</t>
        </is>
      </c>
      <c r="F27" s="6" t="inlineStr">
        <is>
          <t>Yes</t>
        </is>
      </c>
      <c r="G27" s="6" t="inlineStr">
        <is>
          <t>1 Very unsuitable | 2 Weak | 3 Conditional | 4 Suitable | 5 Highly suitable</t>
        </is>
      </c>
    </row>
    <row r="28" ht="30" customHeight="1">
      <c r="A28" s="6" t="inlineStr">
        <is>
          <t>C23</t>
        </is>
      </c>
      <c r="B28" s="6" t="inlineStr">
        <is>
          <t>Evidence</t>
        </is>
      </c>
      <c r="C28" s="6" t="inlineStr">
        <is>
          <t>Evidence quality</t>
        </is>
      </c>
      <c r="D28" s="11" t="n">
        <v>0.04</v>
      </c>
      <c r="E28" s="6" t="inlineStr">
        <is>
          <t>Completeness, recency and local applicability</t>
        </is>
      </c>
      <c r="F28" s="6" t="inlineStr">
        <is>
          <t>Yes</t>
        </is>
      </c>
      <c r="G28" s="6" t="inlineStr">
        <is>
          <t>1 Very unsuitable | 2 Weak | 3 Conditional | 4 Suitable | 5 Highly suitable</t>
        </is>
      </c>
    </row>
  </sheetData>
  <mergeCells count="2">
    <mergeCell ref="A2:G2"/>
    <mergeCell ref="A1:G1"/>
  </mergeCells>
  <dataValidations count="1">
    <dataValidation sqref="D6:D28" showDropDown="0" showInputMessage="0" showErrorMessage="0" allowBlank="0" type="decimal" operator="between">
      <formula1>0</formula1>
      <formula2>1</formula2>
    </dataValidation>
  </dataValidation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35"/>
  <sheetViews>
    <sheetView showGridLines="0" workbookViewId="0">
      <pane xSplit="6" ySplit="12" topLeftCell="G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29" customWidth="1" min="3" max="3"/>
    <col width="12" customWidth="1" min="4" max="4"/>
    <col width="9" customWidth="1" min="5" max="5"/>
    <col width="4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 ht="34" customHeight="1">
      <c r="A1" s="1" t="inlineStr">
        <is>
          <t>Weighted Decision Matrix</t>
        </is>
      </c>
    </row>
    <row r="2" ht="30" customHeight="1">
      <c r="A2" s="2" t="inlineStr">
        <is>
          <t>Scores and confidence are editable screening inputs. Risk-adjusted score = weighted score x evidence completeness.</t>
        </is>
      </c>
    </row>
    <row r="3" ht="30" customHeight="1"/>
    <row r="4" ht="32" customHeight="1">
      <c r="A4" s="5" t="inlineStr">
        <is>
          <t>Configuration</t>
        </is>
      </c>
      <c r="B4" s="5" t="inlineStr">
        <is>
          <t>Concept score /5</t>
        </is>
      </c>
      <c r="C4" s="5" t="inlineStr">
        <is>
          <t>Evidence completeness</t>
        </is>
      </c>
      <c r="D4" s="5" t="inlineStr">
        <is>
          <t>Risk-adjusted /5</t>
        </is>
      </c>
      <c r="E4" s="5" t="inlineStr">
        <is>
          <t>Rank</t>
        </is>
      </c>
      <c r="F4" s="5" t="inlineStr">
        <is>
          <t>Conditional recommendation</t>
        </is>
      </c>
    </row>
    <row r="5" ht="30" customHeight="1">
      <c r="A5" s="6" t="inlineStr">
        <is>
          <t>SC-B0-N</t>
        </is>
      </c>
      <c r="B5" s="7">
        <f>SUMPRODUCT('Criteria and Weights'!$D$6:$D$28,G$13:G$35)/'Criteria and Weights'!$B$3</f>
        <v/>
      </c>
      <c r="C5" s="8">
        <f>G$10</f>
        <v/>
      </c>
      <c r="D5" s="7">
        <f>B5*C5</f>
        <v/>
      </c>
      <c r="E5" s="6">
        <f>RANK(D5,$D$5:$D$10,0)</f>
        <v/>
      </c>
      <c r="F5" s="6" t="inlineStr">
        <is>
          <t>Simulation baseline only - not a field design</t>
        </is>
      </c>
    </row>
    <row r="6" ht="30" customHeight="1">
      <c r="A6" s="6" t="inlineStr">
        <is>
          <t>SC-B0-S</t>
        </is>
      </c>
      <c r="B6" s="7">
        <f>SUMPRODUCT('Criteria and Weights'!$D$6:$D$28,H$13:H$35)/'Criteria and Weights'!$B$3</f>
        <v/>
      </c>
      <c r="C6" s="8">
        <f>H$10</f>
        <v/>
      </c>
      <c r="D6" s="7">
        <f>B6*C6</f>
        <v/>
      </c>
      <c r="E6" s="6">
        <f>RANK(D6,$D$5:$D$10,0)</f>
        <v/>
      </c>
      <c r="F6" s="6" t="inlineStr">
        <is>
          <t>Simulation baseline only - not a field design</t>
        </is>
      </c>
    </row>
    <row r="7" ht="30" customHeight="1">
      <c r="A7" s="6" t="inlineStr">
        <is>
          <t>SC-T1-N</t>
        </is>
      </c>
      <c r="B7" s="7">
        <f>SUMPRODUCT('Criteria and Weights'!$D$6:$D$28,I$13:I$35)/'Criteria and Weights'!$B$3</f>
        <v/>
      </c>
      <c r="C7" s="8">
        <f>I$10</f>
        <v/>
      </c>
      <c r="D7" s="7">
        <f>B7*C7</f>
        <v/>
      </c>
      <c r="E7" s="6">
        <f>RANK(D7,$D$5:$D$10,0)</f>
        <v/>
      </c>
      <c r="F7" s="6" t="inlineStr">
        <is>
          <t>Suitable subject to additional evidence</t>
        </is>
      </c>
    </row>
    <row r="8" ht="30" customHeight="1">
      <c r="A8" s="6" t="inlineStr">
        <is>
          <t>SC-T1-S</t>
        </is>
      </c>
      <c r="B8" s="7">
        <f>SUMPRODUCT('Criteria and Weights'!$D$6:$D$28,J$13:J$35)/'Criteria and Weights'!$B$3</f>
        <v/>
      </c>
      <c r="C8" s="8">
        <f>J$10</f>
        <v/>
      </c>
      <c r="D8" s="7">
        <f>B8*C8</f>
        <v/>
      </c>
      <c r="E8" s="6">
        <f>RANK(D8,$D$5:$D$10,0)</f>
        <v/>
      </c>
      <c r="F8" s="6" t="inlineStr">
        <is>
          <t>Suitable subject to site modification</t>
        </is>
      </c>
    </row>
    <row r="9" ht="30" customHeight="1">
      <c r="A9" s="6" t="inlineStr">
        <is>
          <t>SC-X1-N</t>
        </is>
      </c>
      <c r="B9" s="7">
        <f>SUMPRODUCT('Criteria and Weights'!$D$6:$D$28,K$13:K$35)/'Criteria and Weights'!$B$3</f>
        <v/>
      </c>
      <c r="C9" s="8">
        <f>K$10</f>
        <v/>
      </c>
      <c r="D9" s="7">
        <f>B9*C9</f>
        <v/>
      </c>
      <c r="E9" s="6">
        <f>RANK(D9,$D$5:$D$10,0)</f>
        <v/>
      </c>
      <c r="F9" s="6" t="inlineStr">
        <is>
          <t>Suitable only for specific MPAJ location types</t>
        </is>
      </c>
    </row>
    <row r="10" ht="30" customHeight="1">
      <c r="A10" s="6" t="inlineStr">
        <is>
          <t>SC-X1-S</t>
        </is>
      </c>
      <c r="B10" s="7">
        <f>SUMPRODUCT('Criteria and Weights'!$D$6:$D$28,L$13:L$35)/'Criteria and Weights'!$B$3</f>
        <v/>
      </c>
      <c r="C10" s="8">
        <f>L$10</f>
        <v/>
      </c>
      <c r="D10" s="7">
        <f>B10*C10</f>
        <v/>
      </c>
      <c r="E10" s="6">
        <f>RANK(D10,$D$5:$D$10,0)</f>
        <v/>
      </c>
      <c r="F10" s="6" t="inlineStr">
        <is>
          <t>Evidence completeness inputs</t>
        </is>
      </c>
      <c r="G10" s="12" t="n">
        <v>0.75</v>
      </c>
      <c r="H10" s="12" t="n">
        <v>0.75</v>
      </c>
      <c r="I10" s="12" t="n">
        <v>0.4</v>
      </c>
      <c r="J10" s="12" t="n">
        <v>0.35</v>
      </c>
      <c r="K10" s="12" t="n">
        <v>0.35</v>
      </c>
      <c r="L10" s="12" t="n">
        <v>0.3</v>
      </c>
    </row>
    <row r="11" ht="30" customHeight="1"/>
    <row r="12" ht="32" customHeight="1">
      <c r="A12" s="5" t="inlineStr">
        <is>
          <t>Criterion ID</t>
        </is>
      </c>
      <c r="B12" s="5" t="inlineStr">
        <is>
          <t>Group</t>
        </is>
      </c>
      <c r="C12" s="5" t="inlineStr">
        <is>
          <t>Criterion</t>
        </is>
      </c>
      <c r="D12" s="5" t="inlineStr">
        <is>
          <t>Weight</t>
        </is>
      </c>
      <c r="E12" s="5" t="inlineStr">
        <is>
          <t>SC-B0-N</t>
        </is>
      </c>
      <c r="F12" s="5" t="inlineStr">
        <is>
          <t>SC-B0-S</t>
        </is>
      </c>
      <c r="G12" s="5" t="inlineStr">
        <is>
          <t>SC-T1-N</t>
        </is>
      </c>
      <c r="H12" s="5" t="inlineStr">
        <is>
          <t>SC-T1-S</t>
        </is>
      </c>
      <c r="I12" s="5" t="inlineStr">
        <is>
          <t>SC-X1-N</t>
        </is>
      </c>
      <c r="J12" s="5" t="inlineStr">
        <is>
          <t>SC-X1-S</t>
        </is>
      </c>
      <c r="K12" s="5" t="inlineStr">
        <is>
          <t>Rationale / data gap</t>
        </is>
      </c>
    </row>
    <row r="13" ht="30" customHeight="1">
      <c r="A13" s="6" t="inlineStr">
        <is>
          <t>C01</t>
        </is>
      </c>
      <c r="B13" s="6" t="inlineStr">
        <is>
          <t>Demand</t>
        </is>
      </c>
      <c r="C13" s="6" t="inlineStr">
        <is>
          <t>Pedestrian demand</t>
        </is>
      </c>
      <c r="D13" s="6">
        <f>'Criteria and Weights'!D6</f>
        <v/>
      </c>
      <c r="E13" s="6" t="n"/>
      <c r="F13" s="6" t="n"/>
      <c r="G13" s="13" t="n">
        <v>3</v>
      </c>
      <c r="H13" s="13" t="n">
        <v>3</v>
      </c>
      <c r="I13" s="13" t="n">
        <v>4</v>
      </c>
      <c r="J13" s="13" t="n">
        <v>5</v>
      </c>
      <c r="K13" s="13" t="n">
        <v>5</v>
      </c>
      <c r="L13" s="13" t="n">
        <v>5</v>
      </c>
      <c r="M13" s="6" t="inlineStr">
        <is>
          <t>DATA REQUIRED FROM MPAJ / SITE SURVEY: Counts by direction/user type and desire lines</t>
        </is>
      </c>
    </row>
    <row r="14" ht="30" customHeight="1">
      <c r="A14" s="6" t="inlineStr">
        <is>
          <t>C02</t>
        </is>
      </c>
      <c r="B14" s="6" t="inlineStr">
        <is>
          <t>Demand</t>
        </is>
      </c>
      <c r="C14" s="6" t="inlineStr">
        <is>
          <t>Vehicle demand</t>
        </is>
      </c>
      <c r="D14" s="6">
        <f>'Criteria and Weights'!D7</f>
        <v/>
      </c>
      <c r="E14" s="6" t="n"/>
      <c r="F14" s="6" t="n"/>
      <c r="G14" s="13" t="n">
        <v>3</v>
      </c>
      <c r="H14" s="13" t="n">
        <v>3</v>
      </c>
      <c r="I14" s="13" t="n">
        <v>4</v>
      </c>
      <c r="J14" s="13" t="n">
        <v>3</v>
      </c>
      <c r="K14" s="13" t="n">
        <v>4</v>
      </c>
      <c r="L14" s="13" t="n">
        <v>3</v>
      </c>
      <c r="M14" s="6" t="inlineStr">
        <is>
          <t>DATA REQUIRED FROM MPAJ / SITE SURVEY: Approach and turning counts, classes and queues</t>
        </is>
      </c>
    </row>
    <row r="15" ht="30" customHeight="1">
      <c r="A15" s="6" t="inlineStr">
        <is>
          <t>C03</t>
        </is>
      </c>
      <c r="B15" s="6" t="inlineStr">
        <is>
          <t>Safety</t>
        </is>
      </c>
      <c r="C15" s="6" t="inlineStr">
        <is>
          <t>Operating speed</t>
        </is>
      </c>
      <c r="D15" s="6">
        <f>'Criteria and Weights'!D8</f>
        <v/>
      </c>
      <c r="E15" s="6" t="n"/>
      <c r="F15" s="6" t="n"/>
      <c r="G15" s="13" t="n">
        <v>3</v>
      </c>
      <c r="H15" s="13" t="n">
        <v>3</v>
      </c>
      <c r="I15" s="13" t="n">
        <v>4</v>
      </c>
      <c r="J15" s="13" t="n">
        <v>4</v>
      </c>
      <c r="K15" s="13" t="n">
        <v>3</v>
      </c>
      <c r="L15" s="13" t="n">
        <v>3</v>
      </c>
      <c r="M15" s="6" t="inlineStr">
        <is>
          <t>DATA REQUIRED FROM MPAJ / SITE SURVEY: Posted, mean and 85th-percentile speed</t>
        </is>
      </c>
    </row>
    <row r="16" ht="30" customHeight="1">
      <c r="A16" s="6" t="inlineStr">
        <is>
          <t>C04</t>
        </is>
      </c>
      <c r="B16" s="6" t="inlineStr">
        <is>
          <t>Safety</t>
        </is>
      </c>
      <c r="C16" s="6" t="inlineStr">
        <is>
          <t>Safety history</t>
        </is>
      </c>
      <c r="D16" s="6">
        <f>'Criteria and Weights'!D9</f>
        <v/>
      </c>
      <c r="E16" s="6" t="n"/>
      <c r="F16" s="6" t="n"/>
      <c r="G16" s="13" t="n">
        <v>3</v>
      </c>
      <c r="H16" s="13" t="n">
        <v>3</v>
      </c>
      <c r="I16" s="13" t="n">
        <v>3</v>
      </c>
      <c r="J16" s="13" t="n">
        <v>3</v>
      </c>
      <c r="K16" s="13" t="n">
        <v>3</v>
      </c>
      <c r="L16" s="13" t="n">
        <v>3</v>
      </c>
      <c r="M16" s="6" t="inlineStr">
        <is>
          <t>DATA REQUIRED FROM MPAJ / SITE SURVEY: Crashes, injuries, near misses and complaints</t>
        </is>
      </c>
    </row>
    <row r="17" ht="30" customHeight="1">
      <c r="A17" s="6" t="inlineStr">
        <is>
          <t>C05</t>
        </is>
      </c>
      <c r="B17" s="6" t="inlineStr">
        <is>
          <t>Safety</t>
        </is>
      </c>
      <c r="C17" s="6" t="inlineStr">
        <is>
          <t>Conflict complexity</t>
        </is>
      </c>
      <c r="D17" s="6">
        <f>'Criteria and Weights'!D10</f>
        <v/>
      </c>
      <c r="E17" s="6" t="n"/>
      <c r="F17" s="6" t="n"/>
      <c r="G17" s="13" t="n">
        <v>4</v>
      </c>
      <c r="H17" s="13" t="n">
        <v>4</v>
      </c>
      <c r="I17" s="13" t="n">
        <v>4</v>
      </c>
      <c r="J17" s="13" t="n">
        <v>4</v>
      </c>
      <c r="K17" s="13" t="n">
        <v>2</v>
      </c>
      <c r="L17" s="13" t="n">
        <v>2</v>
      </c>
      <c r="M17" s="6" t="inlineStr">
        <is>
          <t>DATA REQUIRED FROM MPAJ / SITE SURVEY: Number, exposure and severity of movements</t>
        </is>
      </c>
    </row>
    <row r="18" ht="30" customHeight="1">
      <c r="A18" s="6" t="inlineStr">
        <is>
          <t>C06</t>
        </is>
      </c>
      <c r="B18" s="6" t="inlineStr">
        <is>
          <t>Geometry</t>
        </is>
      </c>
      <c r="C18" s="6" t="inlineStr">
        <is>
          <t>Geometry and visibility</t>
        </is>
      </c>
      <c r="D18" s="6">
        <f>'Criteria and Weights'!D11</f>
        <v/>
      </c>
      <c r="E18" s="6" t="n"/>
      <c r="F18" s="6" t="n"/>
      <c r="G18" s="13" t="n">
        <v>4</v>
      </c>
      <c r="H18" s="13" t="n">
        <v>4</v>
      </c>
      <c r="I18" s="13" t="n">
        <v>4</v>
      </c>
      <c r="J18" s="13" t="n">
        <v>4</v>
      </c>
      <c r="K18" s="13" t="n">
        <v>3</v>
      </c>
      <c r="L18" s="13" t="n">
        <v>3</v>
      </c>
      <c r="M18" s="6" t="inlineStr">
        <is>
          <t>DATA REQUIRED FROM MPAJ / SITE SURVEY: Width, distance, grade, drainage and sight distance</t>
        </is>
      </c>
    </row>
    <row r="19" ht="30" customHeight="1">
      <c r="A19" s="6" t="inlineStr">
        <is>
          <t>C07</t>
        </is>
      </c>
      <c r="B19" s="6" t="inlineStr">
        <is>
          <t>Operations</t>
        </is>
      </c>
      <c r="C19" s="6" t="inlineStr">
        <is>
          <t>Signal operation</t>
        </is>
      </c>
      <c r="D19" s="6">
        <f>'Criteria and Weights'!D12</f>
        <v/>
      </c>
      <c r="E19" s="6" t="n"/>
      <c r="F19" s="6" t="n"/>
      <c r="G19" s="13" t="n">
        <v>3</v>
      </c>
      <c r="H19" s="13" t="n">
        <v>3</v>
      </c>
      <c r="I19" s="13" t="n">
        <v>4</v>
      </c>
      <c r="J19" s="13" t="n">
        <v>4</v>
      </c>
      <c r="K19" s="13" t="n">
        <v>3</v>
      </c>
      <c r="L19" s="13" t="n">
        <v>3</v>
      </c>
      <c r="M19" s="6" t="inlineStr">
        <is>
          <t>DATA REQUIRED FROM MPAJ / SITE SURVEY: Controller, phases, intergreen and coordination</t>
        </is>
      </c>
    </row>
    <row r="20" ht="30" customHeight="1">
      <c r="A20" s="6" t="inlineStr">
        <is>
          <t>C08</t>
        </is>
      </c>
      <c r="B20" s="6" t="inlineStr">
        <is>
          <t>Inclusion</t>
        </is>
      </c>
      <c r="C20" s="6" t="inlineStr">
        <is>
          <t>Accessibility</t>
        </is>
      </c>
      <c r="D20" s="6">
        <f>'Criteria and Weights'!D13</f>
        <v/>
      </c>
      <c r="E20" s="6" t="n"/>
      <c r="F20" s="6" t="n"/>
      <c r="G20" s="13" t="n">
        <v>3</v>
      </c>
      <c r="H20" s="13" t="n">
        <v>4</v>
      </c>
      <c r="I20" s="13" t="n">
        <v>4</v>
      </c>
      <c r="J20" s="13" t="n">
        <v>5</v>
      </c>
      <c r="K20" s="13" t="n">
        <v>4</v>
      </c>
      <c r="L20" s="13" t="n">
        <v>5</v>
      </c>
      <c r="M20" s="6" t="inlineStr">
        <is>
          <t>DATA REQUIRED FROM MPAJ / SITE SURVEY: Continuous accessible route and usable indications</t>
        </is>
      </c>
    </row>
    <row r="21" ht="30" customHeight="1">
      <c r="A21" s="6" t="inlineStr">
        <is>
          <t>C09</t>
        </is>
      </c>
      <c r="B21" s="6" t="inlineStr">
        <is>
          <t>Context</t>
        </is>
      </c>
      <c r="C21" s="6" t="inlineStr">
        <is>
          <t>School-zone suitability</t>
        </is>
      </c>
      <c r="D21" s="6">
        <f>'Criteria and Weights'!D14</f>
        <v/>
      </c>
      <c r="E21" s="6" t="n"/>
      <c r="F21" s="6" t="n"/>
      <c r="G21" s="13" t="n">
        <v>2</v>
      </c>
      <c r="H21" s="13" t="n">
        <v>4</v>
      </c>
      <c r="I21" s="13" t="n">
        <v>3</v>
      </c>
      <c r="J21" s="13" t="n">
        <v>5</v>
      </c>
      <c r="K21" s="13" t="n">
        <v>3</v>
      </c>
      <c r="L21" s="13" t="n">
        <v>5</v>
      </c>
      <c r="M21" s="6" t="inlineStr">
        <is>
          <t>DATA REQUIRED FROM MPAJ / SITE SURVEY: Children, supervision, buses and parking</t>
        </is>
      </c>
    </row>
    <row r="22" ht="30" customHeight="1">
      <c r="A22" s="6" t="inlineStr">
        <is>
          <t>C10</t>
        </is>
      </c>
      <c r="B22" s="6" t="inlineStr">
        <is>
          <t>Context</t>
        </is>
      </c>
      <c r="C22" s="6" t="inlineStr">
        <is>
          <t>Public-transport access</t>
        </is>
      </c>
      <c r="D22" s="6">
        <f>'Criteria and Weights'!D15</f>
        <v/>
      </c>
      <c r="E22" s="6" t="n"/>
      <c r="F22" s="6" t="n"/>
      <c r="G22" s="13" t="n">
        <v>3</v>
      </c>
      <c r="H22" s="13" t="n">
        <v>2</v>
      </c>
      <c r="I22" s="13" t="n">
        <v>4</v>
      </c>
      <c r="J22" s="13" t="n">
        <v>3</v>
      </c>
      <c r="K22" s="13" t="n">
        <v>5</v>
      </c>
      <c r="L22" s="13" t="n">
        <v>4</v>
      </c>
      <c r="M22" s="6" t="inlineStr">
        <is>
          <t>DATA REQUIRED FROM MPAJ / SITE SURVEY: LRT/bus demand and last-mile routes</t>
        </is>
      </c>
    </row>
    <row r="23" ht="30" customHeight="1">
      <c r="A23" s="6" t="inlineStr">
        <is>
          <t>C11</t>
        </is>
      </c>
      <c r="B23" s="6" t="inlineStr">
        <is>
          <t>Operations</t>
        </is>
      </c>
      <c r="C23" s="6" t="inlineStr">
        <is>
          <t>Emergency access</t>
        </is>
      </c>
      <c r="D23" s="6">
        <f>'Criteria and Weights'!D16</f>
        <v/>
      </c>
      <c r="E23" s="6" t="n"/>
      <c r="F23" s="6" t="n"/>
      <c r="G23" s="13" t="n">
        <v>3</v>
      </c>
      <c r="H23" s="13" t="n">
        <v>3</v>
      </c>
      <c r="I23" s="13" t="n">
        <v>4</v>
      </c>
      <c r="J23" s="13" t="n">
        <v>4</v>
      </c>
      <c r="K23" s="13" t="n">
        <v>3</v>
      </c>
      <c r="L23" s="13" t="n">
        <v>3</v>
      </c>
      <c r="M23" s="6" t="inlineStr">
        <is>
          <t>DATA REQUIRED FROM MPAJ / SITE SURVEY: Priority operation and route continuity</t>
        </is>
      </c>
    </row>
    <row r="24" ht="30" customHeight="1">
      <c r="A24" s="6" t="inlineStr">
        <is>
          <t>C12</t>
        </is>
      </c>
      <c r="B24" s="6" t="inlineStr">
        <is>
          <t>Technology</t>
        </is>
      </c>
      <c r="C24" s="6" t="inlineStr">
        <is>
          <t>Infrastructure readiness</t>
        </is>
      </c>
      <c r="D24" s="6">
        <f>'Criteria and Weights'!D17</f>
        <v/>
      </c>
      <c r="E24" s="6" t="n"/>
      <c r="F24" s="6" t="n"/>
      <c r="G24" s="13" t="n">
        <v>3</v>
      </c>
      <c r="H24" s="13" t="n">
        <v>3</v>
      </c>
      <c r="I24" s="13" t="n">
        <v>4</v>
      </c>
      <c r="J24" s="13" t="n">
        <v>4</v>
      </c>
      <c r="K24" s="13" t="n">
        <v>3</v>
      </c>
      <c r="L24" s="13" t="n">
        <v>3</v>
      </c>
      <c r="M24" s="6" t="inlineStr">
        <is>
          <t>DATA REQUIRED FROM MPAJ / SITE SURVEY: Power, comms, drainage, poles and cabinets</t>
        </is>
      </c>
    </row>
    <row r="25" ht="30" customHeight="1">
      <c r="A25" s="6" t="inlineStr">
        <is>
          <t>C13</t>
        </is>
      </c>
      <c r="B25" s="6" t="inlineStr">
        <is>
          <t>Technology</t>
        </is>
      </c>
      <c r="C25" s="6" t="inlineStr">
        <is>
          <t>AI detection performance</t>
        </is>
      </c>
      <c r="D25" s="6">
        <f>'Criteria and Weights'!D18</f>
        <v/>
      </c>
      <c r="E25" s="6" t="n"/>
      <c r="F25" s="6" t="n"/>
      <c r="G25" s="13" t="n">
        <v>3</v>
      </c>
      <c r="H25" s="13" t="n">
        <v>3</v>
      </c>
      <c r="I25" s="13" t="n">
        <v>4</v>
      </c>
      <c r="J25" s="13" t="n">
        <v>4</v>
      </c>
      <c r="K25" s="13" t="n">
        <v>3</v>
      </c>
      <c r="L25" s="13" t="n">
        <v>3</v>
      </c>
      <c r="M25" s="6" t="inlineStr">
        <is>
          <t>DATA REQUIRED FROM MPAJ / SITE SURVEY: Accuracy, latency, occlusion, night and weather</t>
        </is>
      </c>
    </row>
    <row r="26" ht="30" customHeight="1">
      <c r="A26" s="6" t="inlineStr">
        <is>
          <t>C14</t>
        </is>
      </c>
      <c r="B26" s="6" t="inlineStr">
        <is>
          <t>Governance</t>
        </is>
      </c>
      <c r="C26" s="6" t="inlineStr">
        <is>
          <t>Enforcement capability</t>
        </is>
      </c>
      <c r="D26" s="6">
        <f>'Criteria and Weights'!D19</f>
        <v/>
      </c>
      <c r="E26" s="6" t="n"/>
      <c r="F26" s="6" t="n"/>
      <c r="G26" s="13" t="n">
        <v>2</v>
      </c>
      <c r="H26" s="13" t="n">
        <v>2</v>
      </c>
      <c r="I26" s="13" t="n">
        <v>3</v>
      </c>
      <c r="J26" s="13" t="n">
        <v>4</v>
      </c>
      <c r="K26" s="13" t="n">
        <v>4</v>
      </c>
      <c r="L26" s="13" t="n">
        <v>4</v>
      </c>
      <c r="M26" s="6" t="inlineStr">
        <is>
          <t>DATA REQUIRED FROM MPAJ / SITE SURVEY: Authority and evidential process</t>
        </is>
      </c>
    </row>
    <row r="27" ht="30" customHeight="1">
      <c r="A27" s="6" t="inlineStr">
        <is>
          <t>C15</t>
        </is>
      </c>
      <c r="B27" s="6" t="inlineStr">
        <is>
          <t>Governance</t>
        </is>
      </c>
      <c r="C27" s="6" t="inlineStr">
        <is>
          <t>Privacy</t>
        </is>
      </c>
      <c r="D27" s="6">
        <f>'Criteria and Weights'!D20</f>
        <v/>
      </c>
      <c r="E27" s="6" t="n"/>
      <c r="F27" s="6" t="n"/>
      <c r="G27" s="13" t="n">
        <v>3</v>
      </c>
      <c r="H27" s="13" t="n">
        <v>3</v>
      </c>
      <c r="I27" s="13" t="n">
        <v>3</v>
      </c>
      <c r="J27" s="13" t="n">
        <v>3</v>
      </c>
      <c r="K27" s="13" t="n">
        <v>3</v>
      </c>
      <c r="L27" s="13" t="n">
        <v>3</v>
      </c>
      <c r="M27" s="6" t="inlineStr">
        <is>
          <t>DATA REQUIRED FROM MPAJ / SITE SURVEY: Purpose, minimisation, retention and access</t>
        </is>
      </c>
    </row>
    <row r="28" ht="30" customHeight="1">
      <c r="A28" s="6" t="inlineStr">
        <is>
          <t>C16</t>
        </is>
      </c>
      <c r="B28" s="6" t="inlineStr">
        <is>
          <t>Governance</t>
        </is>
      </c>
      <c r="C28" s="6" t="inlineStr">
        <is>
          <t>Cybersecurity</t>
        </is>
      </c>
      <c r="D28" s="6">
        <f>'Criteria and Weights'!D21</f>
        <v/>
      </c>
      <c r="E28" s="6" t="n"/>
      <c r="F28" s="6" t="n"/>
      <c r="G28" s="13" t="n">
        <v>3</v>
      </c>
      <c r="H28" s="13" t="n">
        <v>3</v>
      </c>
      <c r="I28" s="13" t="n">
        <v>4</v>
      </c>
      <c r="J28" s="13" t="n">
        <v>4</v>
      </c>
      <c r="K28" s="13" t="n">
        <v>4</v>
      </c>
      <c r="L28" s="13" t="n">
        <v>4</v>
      </c>
      <c r="M28" s="6" t="inlineStr">
        <is>
          <t>DATA REQUIRED FROM MPAJ / SITE SURVEY: Segmentation, hardening, logs and updates</t>
        </is>
      </c>
    </row>
    <row r="29" ht="30" customHeight="1">
      <c r="A29" s="6" t="inlineStr">
        <is>
          <t>C17</t>
        </is>
      </c>
      <c r="B29" s="6" t="inlineStr">
        <is>
          <t>Delivery</t>
        </is>
      </c>
      <c r="C29" s="6" t="inlineStr">
        <is>
          <t>Maintainability</t>
        </is>
      </c>
      <c r="D29" s="6">
        <f>'Criteria and Weights'!D22</f>
        <v/>
      </c>
      <c r="E29" s="6" t="n"/>
      <c r="F29" s="6" t="n"/>
      <c r="G29" s="13" t="n">
        <v>4</v>
      </c>
      <c r="H29" s="13" t="n">
        <v>4</v>
      </c>
      <c r="I29" s="13" t="n">
        <v>4</v>
      </c>
      <c r="J29" s="13" t="n">
        <v>4</v>
      </c>
      <c r="K29" s="13" t="n">
        <v>3</v>
      </c>
      <c r="L29" s="13" t="n">
        <v>3</v>
      </c>
      <c r="M29" s="6" t="inlineStr">
        <is>
          <t>DATA REQUIRED FROM MPAJ / SITE SURVEY: Cleaning, calibration, skills and response time</t>
        </is>
      </c>
    </row>
    <row r="30" ht="30" customHeight="1">
      <c r="A30" s="6" t="inlineStr">
        <is>
          <t>C18</t>
        </is>
      </c>
      <c r="B30" s="6" t="inlineStr">
        <is>
          <t>Delivery</t>
        </is>
      </c>
      <c r="C30" s="6" t="inlineStr">
        <is>
          <t>Installation cost</t>
        </is>
      </c>
      <c r="D30" s="6">
        <f>'Criteria and Weights'!D23</f>
        <v/>
      </c>
      <c r="E30" s="6" t="n"/>
      <c r="F30" s="6" t="n"/>
      <c r="G30" s="13" t="n">
        <v>4</v>
      </c>
      <c r="H30" s="13" t="n">
        <v>4</v>
      </c>
      <c r="I30" s="13" t="n">
        <v>4</v>
      </c>
      <c r="J30" s="13" t="n">
        <v>3</v>
      </c>
      <c r="K30" s="13" t="n">
        <v>2</v>
      </c>
      <c r="L30" s="13" t="n">
        <v>2</v>
      </c>
      <c r="M30" s="6" t="inlineStr">
        <is>
          <t>DATA REQUIRED FROM MPAJ / SITE SURVEY: Civil, electrical, signal and sensing affordability</t>
        </is>
      </c>
    </row>
    <row r="31" ht="30" customHeight="1">
      <c r="A31" s="6" t="inlineStr">
        <is>
          <t>C19</t>
        </is>
      </c>
      <c r="B31" s="6" t="inlineStr">
        <is>
          <t>Delivery</t>
        </is>
      </c>
      <c r="C31" s="6" t="inlineStr">
        <is>
          <t>Operating cost</t>
        </is>
      </c>
      <c r="D31" s="6">
        <f>'Criteria and Weights'!D24</f>
        <v/>
      </c>
      <c r="E31" s="6" t="n"/>
      <c r="F31" s="6" t="n"/>
      <c r="G31" s="13" t="n">
        <v>4</v>
      </c>
      <c r="H31" s="13" t="n">
        <v>4</v>
      </c>
      <c r="I31" s="13" t="n">
        <v>4</v>
      </c>
      <c r="J31" s="13" t="n">
        <v>3</v>
      </c>
      <c r="K31" s="13" t="n">
        <v>2</v>
      </c>
      <c r="L31" s="13" t="n">
        <v>2</v>
      </c>
      <c r="M31" s="6" t="inlineStr">
        <is>
          <t>DATA REQUIRED FROM MPAJ / SITE SURVEY: Connectivity, licensing, maintenance and replacement</t>
        </is>
      </c>
    </row>
    <row r="32" ht="30" customHeight="1">
      <c r="A32" s="6" t="inlineStr">
        <is>
          <t>C20</t>
        </is>
      </c>
      <c r="B32" s="6" t="inlineStr">
        <is>
          <t>Operations</t>
        </is>
      </c>
      <c r="C32" s="6" t="inlineStr">
        <is>
          <t>Traffic impact</t>
        </is>
      </c>
      <c r="D32" s="6">
        <f>'Criteria and Weights'!D25</f>
        <v/>
      </c>
      <c r="E32" s="6" t="n"/>
      <c r="F32" s="6" t="n"/>
      <c r="G32" s="13" t="n">
        <v>4</v>
      </c>
      <c r="H32" s="13" t="n">
        <v>4</v>
      </c>
      <c r="I32" s="13" t="n">
        <v>4</v>
      </c>
      <c r="J32" s="13" t="n">
        <v>3</v>
      </c>
      <c r="K32" s="13" t="n">
        <v>2</v>
      </c>
      <c r="L32" s="13" t="n">
        <v>2</v>
      </c>
      <c r="M32" s="6" t="inlineStr">
        <is>
          <t>DATA REQUIRED FROM MPAJ / SITE SURVEY: Delay, queue spillback, diversion and capacity</t>
        </is>
      </c>
    </row>
    <row r="33" ht="30" customHeight="1">
      <c r="A33" s="6" t="inlineStr">
        <is>
          <t>C21</t>
        </is>
      </c>
      <c r="B33" s="6" t="inlineStr">
        <is>
          <t>Technology</t>
        </is>
      </c>
      <c r="C33" s="6" t="inlineStr">
        <is>
          <t>SmartCross compatibility</t>
        </is>
      </c>
      <c r="D33" s="6">
        <f>'Criteria and Weights'!D26</f>
        <v/>
      </c>
      <c r="E33" s="6" t="n"/>
      <c r="F33" s="6" t="n"/>
      <c r="G33" s="13" t="n">
        <v>5</v>
      </c>
      <c r="H33" s="13" t="n">
        <v>5</v>
      </c>
      <c r="I33" s="13" t="n">
        <v>4</v>
      </c>
      <c r="J33" s="13" t="n">
        <v>4</v>
      </c>
      <c r="K33" s="13" t="n">
        <v>4</v>
      </c>
      <c r="L33" s="13" t="n">
        <v>4</v>
      </c>
      <c r="M33" s="6" t="inlineStr">
        <is>
          <t>DATA REQUIRED FROM MPAJ / SITE SURVEY: Scenario, timeline, logs, reports and UI reuse</t>
        </is>
      </c>
    </row>
    <row r="34" ht="30" customHeight="1">
      <c r="A34" s="6" t="inlineStr">
        <is>
          <t>C22</t>
        </is>
      </c>
      <c r="B34" s="6" t="inlineStr">
        <is>
          <t>Delivery</t>
        </is>
      </c>
      <c r="C34" s="6" t="inlineStr">
        <is>
          <t>Scalability</t>
        </is>
      </c>
      <c r="D34" s="6">
        <f>'Criteria and Weights'!D27</f>
        <v/>
      </c>
      <c r="E34" s="6" t="n"/>
      <c r="F34" s="6" t="n"/>
      <c r="G34" s="13" t="n">
        <v>4</v>
      </c>
      <c r="H34" s="13" t="n">
        <v>4</v>
      </c>
      <c r="I34" s="13" t="n">
        <v>4</v>
      </c>
      <c r="J34" s="13" t="n">
        <v>3</v>
      </c>
      <c r="K34" s="13" t="n">
        <v>3</v>
      </c>
      <c r="L34" s="13" t="n">
        <v>2</v>
      </c>
      <c r="M34" s="6" t="inlineStr">
        <is>
          <t>DATA REQUIRED FROM MPAJ / SITE SURVEY: Repeatability across suitable MPAJ locations</t>
        </is>
      </c>
    </row>
    <row r="35" ht="30" customHeight="1">
      <c r="A35" s="6" t="inlineStr">
        <is>
          <t>C23</t>
        </is>
      </c>
      <c r="B35" s="6" t="inlineStr">
        <is>
          <t>Evidence</t>
        </is>
      </c>
      <c r="C35" s="6" t="inlineStr">
        <is>
          <t>Evidence quality</t>
        </is>
      </c>
      <c r="D35" s="6">
        <f>'Criteria and Weights'!D28</f>
        <v/>
      </c>
      <c r="E35" s="6" t="n"/>
      <c r="F35" s="6" t="n"/>
      <c r="G35" s="13" t="n">
        <v>3</v>
      </c>
      <c r="H35" s="13" t="n">
        <v>3</v>
      </c>
      <c r="I35" s="13" t="n">
        <v>2</v>
      </c>
      <c r="J35" s="13" t="n">
        <v>2</v>
      </c>
      <c r="K35" s="13" t="n">
        <v>2</v>
      </c>
      <c r="L35" s="13" t="n">
        <v>2</v>
      </c>
      <c r="M35" s="6" t="inlineStr">
        <is>
          <t>DATA REQUIRED FROM MPAJ / SITE SURVEY: Completeness, recency and local applicability</t>
        </is>
      </c>
    </row>
  </sheetData>
  <mergeCells count="2">
    <mergeCell ref="A2:AD2"/>
    <mergeCell ref="A1:AD1"/>
  </mergeCells>
  <conditionalFormatting sqref="D5:D10">
    <cfRule type="cellIs" priority="1" operator="lessThan" dxfId="0">
      <formula>2</formula>
    </cfRule>
  </conditionalFormatting>
  <dataValidations count="2">
    <dataValidation sqref="G13:L35" showDropDown="0" showInputMessage="0" showErrorMessage="0" allowBlank="0" type="whole" operator="between">
      <formula1>1</formula1>
      <formula2>5</formula2>
    </dataValidation>
    <dataValidation sqref="G10:L10" showDropDown="0" showInputMessage="0" showErrorMessage="0" allowBlank="0" type="decimal" operator="between">
      <formula1>0</formula1>
      <formula2>1</formula2>
    </dataValidation>
  </dataValidation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3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1" customWidth="1" min="10" max="10"/>
    <col width="36" customWidth="1" min="11" max="11"/>
    <col width="28" customWidth="1" min="12" max="12"/>
  </cols>
  <sheetData>
    <row r="1" ht="34" customHeight="1">
      <c r="A1" s="1" t="inlineStr">
        <is>
          <t>Mandatory Safety Gates</t>
        </is>
      </c>
    </row>
    <row r="2" ht="30" customHeight="1">
      <c r="A2" s="2" t="inlineStr">
        <is>
          <t>Unresolved gates block pilot recommendation regardless of weighted score.</t>
        </is>
      </c>
    </row>
    <row r="3" ht="32" customHeight="1">
      <c r="A3" s="5" t="inlineStr">
        <is>
          <t>Gate ID</t>
        </is>
      </c>
      <c r="B3" s="5" t="inlineStr">
        <is>
          <t>Mandatory gate</t>
        </is>
      </c>
      <c r="C3" s="5" t="inlineStr">
        <is>
          <t>Evidence required</t>
        </is>
      </c>
      <c r="D3" s="5" t="inlineStr">
        <is>
          <t>SC-B0-N</t>
        </is>
      </c>
      <c r="E3" s="5" t="inlineStr">
        <is>
          <t>SC-B0-S</t>
        </is>
      </c>
      <c r="F3" s="5" t="inlineStr">
        <is>
          <t>SC-T1-N</t>
        </is>
      </c>
      <c r="G3" s="5" t="inlineStr">
        <is>
          <t>SC-T1-S</t>
        </is>
      </c>
      <c r="H3" s="5" t="inlineStr">
        <is>
          <t>SC-X1-N</t>
        </is>
      </c>
      <c r="I3" s="5" t="inlineStr">
        <is>
          <t>SC-X1-S</t>
        </is>
      </c>
      <c r="J3" s="5" t="inlineStr">
        <is>
          <t>Owner</t>
        </is>
      </c>
      <c r="K3" s="5" t="inlineStr">
        <is>
          <t>Required action</t>
        </is>
      </c>
      <c r="L3" s="5" t="inlineStr">
        <is>
          <t>Source</t>
        </is>
      </c>
    </row>
    <row r="4" ht="30" customHeight="1">
      <c r="A4" s="6" t="inlineStr">
        <is>
          <t>G01</t>
        </is>
      </c>
      <c r="B4" s="6" t="inlineStr">
        <is>
          <t>Adequate sight distance</t>
        </is>
      </c>
      <c r="C4" s="6" t="inlineStr">
        <is>
          <t>Geometry / field survey</t>
        </is>
      </c>
      <c r="D4" s="13" t="inlineStr">
        <is>
          <t>Data Required</t>
        </is>
      </c>
      <c r="E4" s="13" t="inlineStr">
        <is>
          <t>Data Required</t>
        </is>
      </c>
      <c r="F4" s="13" t="inlineStr">
        <is>
          <t>Data Required</t>
        </is>
      </c>
      <c r="G4" s="13" t="inlineStr">
        <is>
          <t>Data Required</t>
        </is>
      </c>
      <c r="H4" s="13" t="inlineStr">
        <is>
          <t>Data Required</t>
        </is>
      </c>
      <c r="I4" s="13" t="inlineStr">
        <is>
          <t>Data Required</t>
        </is>
      </c>
      <c r="J4" s="6" t="inlineStr">
        <is>
          <t>MPAJ Engineering / relevant authority</t>
        </is>
      </c>
      <c r="K4" s="6" t="inlineStr">
        <is>
          <t>DATA REQUIRED FROM MPAJ / SITE SURVEY</t>
        </is>
      </c>
      <c r="L4" s="6" t="inlineStr">
        <is>
          <t>SRC-03; SRC-06; SRC-07; SRC-08</t>
        </is>
      </c>
    </row>
    <row r="5" ht="30" customHeight="1">
      <c r="A5" s="6" t="inlineStr">
        <is>
          <t>G02</t>
        </is>
      </c>
      <c r="B5" s="6" t="inlineStr">
        <is>
          <t>Safe pedestrian clearance time</t>
        </is>
      </c>
      <c r="C5" s="6" t="inlineStr">
        <is>
          <t>Counts, geometry and accessibility survey</t>
        </is>
      </c>
      <c r="D5" s="13" t="inlineStr">
        <is>
          <t>Data Required</t>
        </is>
      </c>
      <c r="E5" s="13" t="inlineStr">
        <is>
          <t>Data Required</t>
        </is>
      </c>
      <c r="F5" s="13" t="inlineStr">
        <is>
          <t>Data Required</t>
        </is>
      </c>
      <c r="G5" s="13" t="inlineStr">
        <is>
          <t>Data Required</t>
        </is>
      </c>
      <c r="H5" s="13" t="inlineStr">
        <is>
          <t>Data Required</t>
        </is>
      </c>
      <c r="I5" s="13" t="inlineStr">
        <is>
          <t>Data Required</t>
        </is>
      </c>
      <c r="J5" s="6" t="inlineStr">
        <is>
          <t>MPAJ Engineering / relevant authority</t>
        </is>
      </c>
      <c r="K5" s="6" t="inlineStr">
        <is>
          <t>DATA REQUIRED FROM MPAJ / SITE SURVEY</t>
        </is>
      </c>
      <c r="L5" s="6" t="inlineStr">
        <is>
          <t>SRC-03; SRC-06; SRC-07; SRC-08</t>
        </is>
      </c>
    </row>
    <row r="6" ht="30" customHeight="1">
      <c r="A6" s="6" t="inlineStr">
        <is>
          <t>G03</t>
        </is>
      </c>
      <c r="B6" s="6" t="inlineStr">
        <is>
          <t>No uncontrolled conflicting turn during WALK</t>
        </is>
      </c>
      <c r="C6" s="6" t="inlineStr">
        <is>
          <t>Controller design and stage tests</t>
        </is>
      </c>
      <c r="D6" s="13" t="inlineStr">
        <is>
          <t>Data Required</t>
        </is>
      </c>
      <c r="E6" s="13" t="inlineStr">
        <is>
          <t>Data Required</t>
        </is>
      </c>
      <c r="F6" s="13" t="inlineStr">
        <is>
          <t>Data Required</t>
        </is>
      </c>
      <c r="G6" s="13" t="inlineStr">
        <is>
          <t>Data Required</t>
        </is>
      </c>
      <c r="H6" s="13" t="inlineStr">
        <is>
          <t>Data Required</t>
        </is>
      </c>
      <c r="I6" s="13" t="inlineStr">
        <is>
          <t>Data Required</t>
        </is>
      </c>
      <c r="J6" s="6" t="inlineStr">
        <is>
          <t>MPAJ Engineering / relevant authority</t>
        </is>
      </c>
      <c r="K6" s="6" t="inlineStr">
        <is>
          <t>DATA REQUIRED FROM MPAJ / SITE SURVEY</t>
        </is>
      </c>
      <c r="L6" s="6" t="inlineStr">
        <is>
          <t>SRC-03; SRC-06; SRC-07; SRC-08</t>
        </is>
      </c>
    </row>
    <row r="7" ht="30" customHeight="1">
      <c r="A7" s="6" t="inlineStr">
        <is>
          <t>G04</t>
        </is>
      </c>
      <c r="B7" s="6" t="inlineStr">
        <is>
          <t>Continuous accessible crossing route</t>
        </is>
      </c>
      <c r="C7" s="6" t="inlineStr">
        <is>
          <t>Accessibility audit</t>
        </is>
      </c>
      <c r="D7" s="13" t="inlineStr">
        <is>
          <t>Data Required</t>
        </is>
      </c>
      <c r="E7" s="13" t="inlineStr">
        <is>
          <t>Data Required</t>
        </is>
      </c>
      <c r="F7" s="13" t="inlineStr">
        <is>
          <t>Data Required</t>
        </is>
      </c>
      <c r="G7" s="13" t="inlineStr">
        <is>
          <t>Data Required</t>
        </is>
      </c>
      <c r="H7" s="13" t="inlineStr">
        <is>
          <t>Data Required</t>
        </is>
      </c>
      <c r="I7" s="13" t="inlineStr">
        <is>
          <t>Data Required</t>
        </is>
      </c>
      <c r="J7" s="6" t="inlineStr">
        <is>
          <t>MPAJ Engineering / relevant authority</t>
        </is>
      </c>
      <c r="K7" s="6" t="inlineStr">
        <is>
          <t>DATA REQUIRED FROM MPAJ / SITE SURVEY</t>
        </is>
      </c>
      <c r="L7" s="6" t="inlineStr">
        <is>
          <t>SRC-03; SRC-06; SRC-07; SRC-08</t>
        </is>
      </c>
    </row>
    <row r="8" ht="30" customHeight="1">
      <c r="A8" s="6" t="inlineStr">
        <is>
          <t>G05</t>
        </is>
      </c>
      <c r="B8" s="6" t="inlineStr">
        <is>
          <t>Acceptable approach speed or approved treatment</t>
        </is>
      </c>
      <c r="C8" s="6" t="inlineStr">
        <is>
          <t>Speed study and design approval</t>
        </is>
      </c>
      <c r="D8" s="13" t="inlineStr">
        <is>
          <t>Data Required</t>
        </is>
      </c>
      <c r="E8" s="13" t="inlineStr">
        <is>
          <t>Data Required</t>
        </is>
      </c>
      <c r="F8" s="13" t="inlineStr">
        <is>
          <t>Data Required</t>
        </is>
      </c>
      <c r="G8" s="13" t="inlineStr">
        <is>
          <t>Data Required</t>
        </is>
      </c>
      <c r="H8" s="13" t="inlineStr">
        <is>
          <t>Data Required</t>
        </is>
      </c>
      <c r="I8" s="13" t="inlineStr">
        <is>
          <t>Data Required</t>
        </is>
      </c>
      <c r="J8" s="6" t="inlineStr">
        <is>
          <t>MPAJ Engineering / relevant authority</t>
        </is>
      </c>
      <c r="K8" s="6" t="inlineStr">
        <is>
          <t>DATA REQUIRED FROM MPAJ / SITE SURVEY</t>
        </is>
      </c>
      <c r="L8" s="6" t="inlineStr">
        <is>
          <t>SRC-03; SRC-06; SRC-07; SRC-08</t>
        </is>
      </c>
    </row>
    <row r="9" ht="30" customHeight="1">
      <c r="A9" s="6" t="inlineStr">
        <is>
          <t>G06</t>
        </is>
      </c>
      <c r="B9" s="6" t="inlineStr">
        <is>
          <t>Controller implements required interlocks</t>
        </is>
      </c>
      <c r="C9" s="6" t="inlineStr">
        <is>
          <t>Controller compatibility test</t>
        </is>
      </c>
      <c r="D9" s="13" t="inlineStr">
        <is>
          <t>Data Required</t>
        </is>
      </c>
      <c r="E9" s="13" t="inlineStr">
        <is>
          <t>Data Required</t>
        </is>
      </c>
      <c r="F9" s="13" t="inlineStr">
        <is>
          <t>Data Required</t>
        </is>
      </c>
      <c r="G9" s="13" t="inlineStr">
        <is>
          <t>Data Required</t>
        </is>
      </c>
      <c r="H9" s="13" t="inlineStr">
        <is>
          <t>Data Required</t>
        </is>
      </c>
      <c r="I9" s="13" t="inlineStr">
        <is>
          <t>Data Required</t>
        </is>
      </c>
      <c r="J9" s="6" t="inlineStr">
        <is>
          <t>MPAJ Engineering / relevant authority</t>
        </is>
      </c>
      <c r="K9" s="6" t="inlineStr">
        <is>
          <t>DATA REQUIRED FROM MPAJ / SITE SURVEY</t>
        </is>
      </c>
      <c r="L9" s="6" t="inlineStr">
        <is>
          <t>SRC-03; SRC-06; SRC-07; SRC-08</t>
        </is>
      </c>
    </row>
    <row r="10" ht="30" customHeight="1">
      <c r="A10" s="6" t="inlineStr">
        <is>
          <t>G07</t>
        </is>
      </c>
      <c r="B10" s="6" t="inlineStr">
        <is>
          <t>Queue spillback does not routinely block crossing</t>
        </is>
      </c>
      <c r="C10" s="6" t="inlineStr">
        <is>
          <t>Queue and capacity survey</t>
        </is>
      </c>
      <c r="D10" s="13" t="inlineStr">
        <is>
          <t>Data Required</t>
        </is>
      </c>
      <c r="E10" s="13" t="inlineStr">
        <is>
          <t>Data Required</t>
        </is>
      </c>
      <c r="F10" s="13" t="inlineStr">
        <is>
          <t>Data Required</t>
        </is>
      </c>
      <c r="G10" s="13" t="inlineStr">
        <is>
          <t>Data Required</t>
        </is>
      </c>
      <c r="H10" s="13" t="inlineStr">
        <is>
          <t>Data Required</t>
        </is>
      </c>
      <c r="I10" s="13" t="inlineStr">
        <is>
          <t>Data Required</t>
        </is>
      </c>
      <c r="J10" s="6" t="inlineStr">
        <is>
          <t>MPAJ Engineering / relevant authority</t>
        </is>
      </c>
      <c r="K10" s="6" t="inlineStr">
        <is>
          <t>DATA REQUIRED FROM MPAJ / SITE SURVEY</t>
        </is>
      </c>
      <c r="L10" s="6" t="inlineStr">
        <is>
          <t>SRC-03; SRC-06; SRC-07; SRC-08</t>
        </is>
      </c>
    </row>
    <row r="11" ht="30" customHeight="1">
      <c r="A11" s="6" t="inlineStr">
        <is>
          <t>G08</t>
        </is>
      </c>
      <c r="B11" s="6" t="inlineStr">
        <is>
          <t>Power/communications failure behaviour resolved</t>
        </is>
      </c>
      <c r="C11" s="6" t="inlineStr">
        <is>
          <t>Failure-mode test</t>
        </is>
      </c>
      <c r="D11" s="13" t="inlineStr">
        <is>
          <t>Data Required</t>
        </is>
      </c>
      <c r="E11" s="13" t="inlineStr">
        <is>
          <t>Data Required</t>
        </is>
      </c>
      <c r="F11" s="13" t="inlineStr">
        <is>
          <t>Data Required</t>
        </is>
      </c>
      <c r="G11" s="13" t="inlineStr">
        <is>
          <t>Data Required</t>
        </is>
      </c>
      <c r="H11" s="13" t="inlineStr">
        <is>
          <t>Data Required</t>
        </is>
      </c>
      <c r="I11" s="13" t="inlineStr">
        <is>
          <t>Data Required</t>
        </is>
      </c>
      <c r="J11" s="6" t="inlineStr">
        <is>
          <t>MPAJ Engineering / relevant authority</t>
        </is>
      </c>
      <c r="K11" s="6" t="inlineStr">
        <is>
          <t>DATA REQUIRED FROM MPAJ / SITE SURVEY</t>
        </is>
      </c>
      <c r="L11" s="6" t="inlineStr">
        <is>
          <t>SRC-03; SRC-06; SRC-07; SRC-08</t>
        </is>
      </c>
    </row>
    <row r="12" ht="30" customHeight="1">
      <c r="A12" s="6" t="inlineStr">
        <is>
          <t>G09</t>
        </is>
      </c>
      <c r="B12" s="6" t="inlineStr">
        <is>
          <t>Safe fixed-time or manual fallback</t>
        </is>
      </c>
      <c r="C12" s="6" t="inlineStr">
        <is>
          <t>Operations procedure and test</t>
        </is>
      </c>
      <c r="D12" s="13" t="inlineStr">
        <is>
          <t>Data Required</t>
        </is>
      </c>
      <c r="E12" s="13" t="inlineStr">
        <is>
          <t>Data Required</t>
        </is>
      </c>
      <c r="F12" s="13" t="inlineStr">
        <is>
          <t>Data Required</t>
        </is>
      </c>
      <c r="G12" s="13" t="inlineStr">
        <is>
          <t>Data Required</t>
        </is>
      </c>
      <c r="H12" s="13" t="inlineStr">
        <is>
          <t>Data Required</t>
        </is>
      </c>
      <c r="I12" s="13" t="inlineStr">
        <is>
          <t>Data Required</t>
        </is>
      </c>
      <c r="J12" s="6" t="inlineStr">
        <is>
          <t>MPAJ Engineering / relevant authority</t>
        </is>
      </c>
      <c r="K12" s="6" t="inlineStr">
        <is>
          <t>DATA REQUIRED FROM MPAJ / SITE SURVEY</t>
        </is>
      </c>
      <c r="L12" s="6" t="inlineStr">
        <is>
          <t>SRC-03; SRC-06; SRC-07; SRC-08</t>
        </is>
      </c>
    </row>
    <row r="13" ht="30" customHeight="1">
      <c r="A13" s="6" t="inlineStr">
        <is>
          <t>G10</t>
        </is>
      </c>
      <c r="B13" s="6" t="inlineStr">
        <is>
          <t>No critical controller cybersecurity exposure</t>
        </is>
      </c>
      <c r="C13" s="6" t="inlineStr">
        <is>
          <t>Independent security assessment</t>
        </is>
      </c>
      <c r="D13" s="13" t="inlineStr">
        <is>
          <t>Data Required</t>
        </is>
      </c>
      <c r="E13" s="13" t="inlineStr">
        <is>
          <t>Data Required</t>
        </is>
      </c>
      <c r="F13" s="13" t="inlineStr">
        <is>
          <t>Data Required</t>
        </is>
      </c>
      <c r="G13" s="13" t="inlineStr">
        <is>
          <t>Data Required</t>
        </is>
      </c>
      <c r="H13" s="13" t="inlineStr">
        <is>
          <t>Data Required</t>
        </is>
      </c>
      <c r="I13" s="13" t="inlineStr">
        <is>
          <t>Data Required</t>
        </is>
      </c>
      <c r="J13" s="6" t="inlineStr">
        <is>
          <t>MPAJ Engineering / relevant authority</t>
        </is>
      </c>
      <c r="K13" s="6" t="inlineStr">
        <is>
          <t>DATA REQUIRED FROM MPAJ / SITE SURVEY</t>
        </is>
      </c>
      <c r="L13" s="6" t="inlineStr">
        <is>
          <t>SRC-03; SRC-06; SRC-07; SRC-08</t>
        </is>
      </c>
    </row>
    <row r="14" ht="30" customHeight="1">
      <c r="A14" s="6" t="inlineStr">
        <is>
          <t>G11</t>
        </is>
      </c>
      <c r="B14" s="6" t="inlineStr">
        <is>
          <t>CCTV/ANPR processing lawfully approved</t>
        </is>
      </c>
      <c r="C14" s="6" t="inlineStr">
        <is>
          <t>Legal review and DPIA</t>
        </is>
      </c>
      <c r="D14" s="13" t="inlineStr">
        <is>
          <t>Data Required</t>
        </is>
      </c>
      <c r="E14" s="13" t="inlineStr">
        <is>
          <t>Data Required</t>
        </is>
      </c>
      <c r="F14" s="13" t="inlineStr">
        <is>
          <t>Data Required</t>
        </is>
      </c>
      <c r="G14" s="13" t="inlineStr">
        <is>
          <t>Data Required</t>
        </is>
      </c>
      <c r="H14" s="13" t="inlineStr">
        <is>
          <t>Data Required</t>
        </is>
      </c>
      <c r="I14" s="13" t="inlineStr">
        <is>
          <t>Data Required</t>
        </is>
      </c>
      <c r="J14" s="6" t="inlineStr">
        <is>
          <t>MPAJ Engineering / relevant authority</t>
        </is>
      </c>
      <c r="K14" s="6" t="inlineStr">
        <is>
          <t>DATA REQUIRED FROM MPAJ / SITE SURVEY</t>
        </is>
      </c>
      <c r="L14" s="6" t="inlineStr">
        <is>
          <t>SRC-03; SRC-06; SRC-07; SRC-08</t>
        </is>
      </c>
    </row>
    <row r="15" ht="30" customHeight="1">
      <c r="A15" s="6" t="inlineStr">
        <is>
          <t>G12</t>
        </is>
      </c>
      <c r="B15" s="6" t="inlineStr">
        <is>
          <t>Road-safety audit completed</t>
        </is>
      </c>
      <c r="C15" s="6" t="inlineStr">
        <is>
          <t>Independent accredited RSA</t>
        </is>
      </c>
      <c r="D15" s="13" t="inlineStr">
        <is>
          <t>Data Required</t>
        </is>
      </c>
      <c r="E15" s="13" t="inlineStr">
        <is>
          <t>Data Required</t>
        </is>
      </c>
      <c r="F15" s="13" t="inlineStr">
        <is>
          <t>Data Required</t>
        </is>
      </c>
      <c r="G15" s="13" t="inlineStr">
        <is>
          <t>Data Required</t>
        </is>
      </c>
      <c r="H15" s="13" t="inlineStr">
        <is>
          <t>Data Required</t>
        </is>
      </c>
      <c r="I15" s="13" t="inlineStr">
        <is>
          <t>Data Required</t>
        </is>
      </c>
      <c r="J15" s="6" t="inlineStr">
        <is>
          <t>MPAJ Engineering / relevant authority</t>
        </is>
      </c>
      <c r="K15" s="6" t="inlineStr">
        <is>
          <t>DATA REQUIRED FROM MPAJ / SITE SURVEY</t>
        </is>
      </c>
      <c r="L15" s="6" t="inlineStr">
        <is>
          <t>SRC-03; SRC-06; SRC-07; SRC-08</t>
        </is>
      </c>
    </row>
    <row r="16" ht="30" customHeight="1">
      <c r="A16" s="6" t="inlineStr">
        <is>
          <t>G13</t>
        </is>
      </c>
      <c r="B16" s="6" t="inlineStr">
        <is>
          <t>Responsible road authority identified</t>
        </is>
      </c>
      <c r="C16" s="6" t="inlineStr">
        <is>
          <t>Asset and jurisdiction confirmation</t>
        </is>
      </c>
      <c r="D16" s="13" t="inlineStr">
        <is>
          <t>Data Required</t>
        </is>
      </c>
      <c r="E16" s="13" t="inlineStr">
        <is>
          <t>Data Required</t>
        </is>
      </c>
      <c r="F16" s="13" t="inlineStr">
        <is>
          <t>Data Required</t>
        </is>
      </c>
      <c r="G16" s="13" t="inlineStr">
        <is>
          <t>Data Required</t>
        </is>
      </c>
      <c r="H16" s="13" t="inlineStr">
        <is>
          <t>Data Required</t>
        </is>
      </c>
      <c r="I16" s="13" t="inlineStr">
        <is>
          <t>Data Required</t>
        </is>
      </c>
      <c r="J16" s="6" t="inlineStr">
        <is>
          <t>MPAJ Engineering / relevant authority</t>
        </is>
      </c>
      <c r="K16" s="6" t="inlineStr">
        <is>
          <t>DATA REQUIRED FROM MPAJ / SITE SURVEY</t>
        </is>
      </c>
      <c r="L16" s="6" t="inlineStr">
        <is>
          <t>SRC-03; SRC-06; SRC-07; SRC-08</t>
        </is>
      </c>
    </row>
    <row r="17" ht="30" customHeight="1">
      <c r="A17" s="6" t="inlineStr">
        <is>
          <t>G14</t>
        </is>
      </c>
      <c r="B17" s="6" t="inlineStr">
        <is>
          <t>Emergency access conflict resolved</t>
        </is>
      </c>
      <c r="C17" s="6" t="inlineStr">
        <is>
          <t>Emergency-services consultation and test</t>
        </is>
      </c>
      <c r="D17" s="13" t="inlineStr">
        <is>
          <t>Data Required</t>
        </is>
      </c>
      <c r="E17" s="13" t="inlineStr">
        <is>
          <t>Data Required</t>
        </is>
      </c>
      <c r="F17" s="13" t="inlineStr">
        <is>
          <t>Data Required</t>
        </is>
      </c>
      <c r="G17" s="13" t="inlineStr">
        <is>
          <t>Data Required</t>
        </is>
      </c>
      <c r="H17" s="13" t="inlineStr">
        <is>
          <t>Data Required</t>
        </is>
      </c>
      <c r="I17" s="13" t="inlineStr">
        <is>
          <t>Data Required</t>
        </is>
      </c>
      <c r="J17" s="6" t="inlineStr">
        <is>
          <t>MPAJ Engineering / relevant authority</t>
        </is>
      </c>
      <c r="K17" s="6" t="inlineStr">
        <is>
          <t>DATA REQUIRED FROM MPAJ / SITE SURVEY</t>
        </is>
      </c>
      <c r="L17" s="6" t="inlineStr">
        <is>
          <t>SRC-03; SRC-06; SRC-07; SRC-08</t>
        </is>
      </c>
    </row>
  </sheetData>
  <mergeCells count="2">
    <mergeCell ref="A2:L2"/>
    <mergeCell ref="A1:L1"/>
  </mergeCells>
  <conditionalFormatting sqref="D4:I17">
    <cfRule type="expression" priority="1" dxfId="0">
      <formula>D4="Fail"</formula>
    </cfRule>
    <cfRule type="expression" priority="2" dxfId="1">
      <formula>OR(D4="Data Required",D4="Not Assessed")</formula>
    </cfRule>
  </conditionalFormatting>
  <dataValidations count="6">
    <dataValidation sqref="D4:D17" showDropDown="0" showInputMessage="0" showErrorMessage="0" allowBlank="1" type="list">
      <formula1>"Pass,Conditional Pass,Fail,Not Assessed,Data Required"</formula1>
    </dataValidation>
    <dataValidation sqref="E4:E17" showDropDown="0" showInputMessage="0" showErrorMessage="0" allowBlank="1" type="list">
      <formula1>"Pass,Conditional Pass,Fail,Not Assessed,Data Required"</formula1>
    </dataValidation>
    <dataValidation sqref="F4:F17" showDropDown="0" showInputMessage="0" showErrorMessage="0" allowBlank="1" type="list">
      <formula1>"Pass,Conditional Pass,Fail,Not Assessed,Data Required"</formula1>
    </dataValidation>
    <dataValidation sqref="G4:G17" showDropDown="0" showInputMessage="0" showErrorMessage="0" allowBlank="1" type="list">
      <formula1>"Pass,Conditional Pass,Fail,Not Assessed,Data Required"</formula1>
    </dataValidation>
    <dataValidation sqref="H4:H17" showDropDown="0" showInputMessage="0" showErrorMessage="0" allowBlank="1" type="list">
      <formula1>"Pass,Conditional Pass,Fail,Not Assessed,Data Required"</formula1>
    </dataValidation>
    <dataValidation sqref="I4:I17" showDropDown="0" showInputMessage="0" showErrorMessage="0" allowBlank="1" type="list">
      <formula1>"Pass,Conditional Pass,Fail,Not Assessed,Data Required"</formula1>
    </dataValidation>
  </dataValidation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2" customWidth="1" min="3" max="3"/>
    <col width="36" customWidth="1" min="4" max="4"/>
    <col width="13" customWidth="1" min="5" max="5"/>
    <col width="13" customWidth="1" min="6" max="6"/>
    <col width="15" customWidth="1" min="7" max="7"/>
    <col width="18" customWidth="1" min="8" max="8"/>
    <col width="20" customWidth="1" min="9" max="9"/>
    <col width="15" customWidth="1" min="10" max="10"/>
    <col width="18" customWidth="1" min="11" max="11"/>
    <col width="14" customWidth="1" min="12" max="12"/>
    <col width="16" customWidth="1" min="13" max="13"/>
    <col width="18" customWidth="1" min="14" max="14"/>
    <col width="18" customWidth="1" min="15" max="15"/>
    <col width="42" customWidth="1" min="16" max="16"/>
  </cols>
  <sheetData>
    <row r="1" ht="34" customHeight="1">
      <c r="A1" s="1" t="inlineStr">
        <is>
          <t>Candidate Site Screening</t>
        </is>
      </c>
    </row>
    <row r="2" ht="30" customHeight="1">
      <c r="A2" s="2" t="inlineStr">
        <is>
          <t>No real site is nominated. Enter actual MPAJ locations only after jurisdiction and survey scope are confirmed.</t>
        </is>
      </c>
    </row>
    <row r="3" ht="32" customHeight="1">
      <c r="A3" s="5" t="inlineStr">
        <is>
          <t>Candidate ID</t>
        </is>
      </c>
      <c r="B3" s="5" t="inlineStr">
        <is>
          <t>Actual MPAJ location</t>
        </is>
      </c>
      <c r="C3" s="5" t="inlineStr">
        <is>
          <t>Intersection type</t>
        </is>
      </c>
      <c r="D3" s="5" t="inlineStr">
        <is>
          <t>Nearby generators</t>
        </is>
      </c>
      <c r="E3" s="5" t="inlineStr">
        <is>
          <t>Ped peak</t>
        </is>
      </c>
      <c r="F3" s="5" t="inlineStr">
        <is>
          <t>Vehicle peak</t>
        </is>
      </c>
      <c r="G3" s="5" t="inlineStr">
        <is>
          <t>85th % speed</t>
        </is>
      </c>
      <c r="H3" s="5" t="inlineStr">
        <is>
          <t>Crossing distance m</t>
        </is>
      </c>
      <c r="I3" s="5" t="inlineStr">
        <is>
          <t>Crash / near miss</t>
        </is>
      </c>
      <c r="J3" s="5" t="inlineStr">
        <is>
          <t>Lighting</t>
        </is>
      </c>
      <c r="K3" s="5" t="inlineStr">
        <is>
          <t>Accessibility</t>
        </is>
      </c>
      <c r="L3" s="5" t="inlineStr">
        <is>
          <t>Comms</t>
        </is>
      </c>
      <c r="M3" s="5" t="inlineStr">
        <is>
          <t>Readiness score</t>
        </is>
      </c>
      <c r="N3" s="5" t="inlineStr">
        <is>
          <t>Shortlist status</t>
        </is>
      </c>
      <c r="O3" s="5" t="inlineStr">
        <is>
          <t>Evidence status</t>
        </is>
      </c>
      <c r="P3" s="5" t="inlineStr">
        <is>
          <t>Notes</t>
        </is>
      </c>
    </row>
    <row r="4" ht="30" customHeight="1">
      <c r="A4" s="6" t="inlineStr">
        <is>
          <t>SITE-T01</t>
        </is>
      </c>
      <c r="B4" s="13" t="inlineStr"/>
      <c r="C4" s="13" t="inlineStr">
        <is>
          <t>Three-arm T-junction</t>
        </is>
      </c>
      <c r="D4" s="13" t="inlineStr">
        <is>
          <t>DATA REQUIRED FROM MPAJ / SITE SURVEY</t>
        </is>
      </c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>
        <f>IF(COUNT(E4:L4)&lt;4,"",AVERAGE(IFERROR(MIN(5,100/E4*5),""),IFERROR(MAX(1,5-G4/20),"")))</f>
        <v/>
      </c>
      <c r="N4" s="13" t="inlineStr">
        <is>
          <t>Data Required</t>
        </is>
      </c>
      <c r="O4" s="13" t="inlineStr">
        <is>
          <t>Data Required</t>
        </is>
      </c>
      <c r="P4" s="6" t="inlineStr">
        <is>
          <t>MPAJ to nominate one candidate; map appearance alone is insufficient.</t>
        </is>
      </c>
    </row>
    <row r="5" ht="30" customHeight="1">
      <c r="A5" s="6" t="inlineStr">
        <is>
          <t>SITE-X01</t>
        </is>
      </c>
      <c r="B5" s="13" t="inlineStr"/>
      <c r="C5" s="13" t="inlineStr">
        <is>
          <t>Four-arm crossroads</t>
        </is>
      </c>
      <c r="D5" s="13" t="inlineStr">
        <is>
          <t>DATA REQUIRED FROM MPAJ / SITE SURVEY</t>
        </is>
      </c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>
        <f>IF(COUNT(E5:L5)&lt;4,"",AVERAGE(IFERROR(MIN(5,100/E5*5),""),IFERROR(MAX(1,5-G5/20),"")))</f>
        <v/>
      </c>
      <c r="N5" s="13" t="inlineStr">
        <is>
          <t>Data Required</t>
        </is>
      </c>
      <c r="O5" s="13" t="inlineStr">
        <is>
          <t>Data Required</t>
        </is>
      </c>
      <c r="P5" s="6" t="inlineStr">
        <is>
          <t>MPAJ to nominate one candidate; confirm signal-controller and queue context.</t>
        </is>
      </c>
    </row>
  </sheetData>
  <mergeCells count="2">
    <mergeCell ref="A1:P1"/>
    <mergeCell ref="A2:P2"/>
  </mergeCells>
  <dataValidations count="1">
    <dataValidation sqref="N4:N50" showDropDown="0" showInputMessage="0" showErrorMessage="0" allowBlank="1" type="list">
      <formula1>"Not Started,In Progress,Complete,Blocked,Data Required"</formula1>
    </dataValidation>
  </dataValidation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5" customWidth="1" min="3" max="3"/>
    <col width="20" customWidth="1" min="4" max="4"/>
    <col width="38" customWidth="1" min="5" max="5"/>
    <col width="27" customWidth="1" min="6" max="6"/>
    <col width="37" customWidth="1" min="7" max="7"/>
    <col width="18" customWidth="1" min="8" max="8"/>
  </cols>
  <sheetData>
    <row r="1" ht="34" customHeight="1">
      <c r="A1" s="1" t="inlineStr">
        <is>
          <t>Site Survey Requirements</t>
        </is>
      </c>
    </row>
    <row r="2" ht="30" customHeight="1">
      <c r="A2" s="2" t="inlineStr">
        <is>
          <t>Minimum evidence collection before a configuration can move beyond concept screening.</t>
        </is>
      </c>
    </row>
    <row r="3" ht="32" customHeight="1">
      <c r="A3" s="5" t="inlineStr">
        <is>
          <t>Survey ID</t>
        </is>
      </c>
      <c r="B3" s="5" t="inlineStr">
        <is>
          <t>Survey item</t>
        </is>
      </c>
      <c r="C3" s="5" t="inlineStr">
        <is>
          <t>Method</t>
        </is>
      </c>
      <c r="D3" s="5" t="inlineStr">
        <is>
          <t>Unit</t>
        </is>
      </c>
      <c r="E3" s="5" t="inlineStr">
        <is>
          <t>Observation period</t>
        </is>
      </c>
      <c r="F3" s="5" t="inlineStr">
        <is>
          <t>Responsible party</t>
        </is>
      </c>
      <c r="G3" s="5" t="inlineStr">
        <is>
          <t>Quality check</t>
        </is>
      </c>
      <c r="H3" s="5" t="inlineStr">
        <is>
          <t>Completion status</t>
        </is>
      </c>
    </row>
    <row r="4" ht="30" customHeight="1">
      <c r="A4" s="6" t="inlineStr">
        <is>
          <t>SV01</t>
        </is>
      </c>
      <c r="B4" s="6" t="inlineStr">
        <is>
          <t>Pedestrian counts by direction/user category</t>
        </is>
      </c>
      <c r="C4" s="6" t="inlineStr">
        <is>
          <t>Video/manual classified counts</t>
        </is>
      </c>
      <c r="D4" s="6" t="inlineStr">
        <is>
          <t>pedestrians/15 min</t>
        </is>
      </c>
      <c r="E4" s="6" t="inlineStr">
        <is>
          <t>Weekday AM/PM peaks, school arrival/dismissal, off-peak, relevant weekend</t>
        </is>
      </c>
      <c r="F4" s="6" t="inlineStr">
        <is>
          <t>Traffic survey team</t>
        </is>
      </c>
      <c r="G4" s="6" t="inlineStr">
        <is>
          <t>Inter-observer check; privacy masks</t>
        </is>
      </c>
      <c r="H4" s="6" t="inlineStr">
        <is>
          <t>Not Started</t>
        </is>
      </c>
    </row>
    <row r="5" ht="30" customHeight="1">
      <c r="A5" s="6" t="inlineStr">
        <is>
          <t>SV02</t>
        </is>
      </c>
      <c r="B5" s="6" t="inlineStr">
        <is>
          <t>Vehicle approach and turning counts</t>
        </is>
      </c>
      <c r="C5" s="6" t="inlineStr">
        <is>
          <t>Classified junction count</t>
        </is>
      </c>
      <c r="D5" s="6" t="inlineStr">
        <is>
          <t>vehicles/15 min</t>
        </is>
      </c>
      <c r="E5" s="6" t="inlineStr">
        <is>
          <t>Same periods as pedestrian counts</t>
        </is>
      </c>
      <c r="F5" s="6" t="inlineStr">
        <is>
          <t>Traffic survey team</t>
        </is>
      </c>
      <c r="G5" s="6" t="inlineStr">
        <is>
          <t>Balance approaches/exits</t>
        </is>
      </c>
      <c r="H5" s="6" t="inlineStr">
        <is>
          <t>Not Started</t>
        </is>
      </c>
    </row>
    <row r="6" ht="30" customHeight="1">
      <c r="A6" s="6" t="inlineStr">
        <is>
          <t>SV03</t>
        </is>
      </c>
      <c r="B6" s="6" t="inlineStr">
        <is>
          <t>Vehicle speeds</t>
        </is>
      </c>
      <c r="C6" s="6" t="inlineStr">
        <is>
          <t>Calibrated radar; free-flow samples</t>
        </is>
      </c>
      <c r="D6" s="6" t="inlineStr">
        <is>
          <t>km/h</t>
        </is>
      </c>
      <c r="E6" s="6" t="inlineStr">
        <is>
          <t>Day/night and school active/inactive</t>
        </is>
      </c>
      <c r="F6" s="6" t="inlineStr">
        <is>
          <t>Traffic engineer</t>
        </is>
      </c>
      <c r="G6" s="6" t="inlineStr">
        <is>
          <t>Calibration certificate; sample sufficiency</t>
        </is>
      </c>
      <c r="H6" s="6" t="inlineStr">
        <is>
          <t>Not Started</t>
        </is>
      </c>
    </row>
    <row r="7" ht="30" customHeight="1">
      <c r="A7" s="6" t="inlineStr">
        <is>
          <t>SV04</t>
        </is>
      </c>
      <c r="B7" s="6" t="inlineStr">
        <is>
          <t>Queue length and delay</t>
        </is>
      </c>
      <c r="C7" s="6" t="inlineStr">
        <is>
          <t>Video trajectory/time study</t>
        </is>
      </c>
      <c r="D7" s="6" t="inlineStr">
        <is>
          <t>m, vehicles, seconds</t>
        </is>
      </c>
      <c r="E7" s="6" t="inlineStr">
        <is>
          <t>Peak and incident-prone periods</t>
        </is>
      </c>
      <c r="F7" s="6" t="inlineStr">
        <is>
          <t>Traffic engineer</t>
        </is>
      </c>
      <c r="G7" s="6" t="inlineStr">
        <is>
          <t>95th-percentile and spillback locations</t>
        </is>
      </c>
      <c r="H7" s="6" t="inlineStr">
        <is>
          <t>Not Started</t>
        </is>
      </c>
    </row>
    <row r="8" ht="30" customHeight="1">
      <c r="A8" s="6" t="inlineStr">
        <is>
          <t>SV05</t>
        </is>
      </c>
      <c r="B8" s="6" t="inlineStr">
        <is>
          <t>Geometry and crossing distance</t>
        </is>
      </c>
      <c r="C8" s="6" t="inlineStr">
        <is>
          <t>Topographic/site survey</t>
        </is>
      </c>
      <c r="D8" s="6" t="inlineStr">
        <is>
          <t>m, %, degrees</t>
        </is>
      </c>
      <c r="E8" s="6" t="inlineStr">
        <is>
          <t>Daylight site visit</t>
        </is>
      </c>
      <c r="F8" s="6" t="inlineStr">
        <is>
          <t>Surveyor/engineer</t>
        </is>
      </c>
      <c r="G8" s="6" t="inlineStr">
        <is>
          <t>Independent dimension check</t>
        </is>
      </c>
      <c r="H8" s="6" t="inlineStr">
        <is>
          <t>Not Started</t>
        </is>
      </c>
    </row>
    <row r="9" ht="30" customHeight="1">
      <c r="A9" s="6" t="inlineStr">
        <is>
          <t>SV06</t>
        </is>
      </c>
      <c r="B9" s="6" t="inlineStr">
        <is>
          <t>Signal cycles and controller capability</t>
        </is>
      </c>
      <c r="C9" s="6" t="inlineStr">
        <is>
          <t>Controller records and field observation</t>
        </is>
      </c>
      <c r="D9" s="6" t="inlineStr">
        <is>
          <t>seconds / capability</t>
        </is>
      </c>
      <c r="E9" s="6" t="inlineStr">
        <is>
          <t>Multiple cycles each period</t>
        </is>
      </c>
      <c r="F9" s="6" t="inlineStr">
        <is>
          <t>Signal engineer</t>
        </is>
      </c>
      <c r="G9" s="6" t="inlineStr">
        <is>
          <t>Reconcile plan with observed states</t>
        </is>
      </c>
      <c r="H9" s="6" t="inlineStr">
        <is>
          <t>Not Started</t>
        </is>
      </c>
    </row>
    <row r="10" ht="30" customHeight="1">
      <c r="A10" s="6" t="inlineStr">
        <is>
          <t>SV07</t>
        </is>
      </c>
      <c r="B10" s="6" t="inlineStr">
        <is>
          <t>Crash/near-miss/complaint history</t>
        </is>
      </c>
      <c r="C10" s="6" t="inlineStr">
        <is>
          <t>Authority records and conflict study</t>
        </is>
      </c>
      <c r="D10" s="6" t="inlineStr">
        <is>
          <t>events/year; conflicts/hour</t>
        </is>
      </c>
      <c r="E10" s="6" t="inlineStr">
        <is>
          <t>At least recent multi-year record where available</t>
        </is>
      </c>
      <c r="F10" s="6" t="inlineStr">
        <is>
          <t>MPAJ/PDRM/MIROS</t>
        </is>
      </c>
      <c r="G10" s="6" t="inlineStr">
        <is>
          <t>Definitions and geocoding verified</t>
        </is>
      </c>
      <c r="H10" s="6" t="inlineStr">
        <is>
          <t>Not Started</t>
        </is>
      </c>
    </row>
    <row r="11" ht="30" customHeight="1">
      <c r="A11" s="6" t="inlineStr">
        <is>
          <t>SV08</t>
        </is>
      </c>
      <c r="B11" s="6" t="inlineStr">
        <is>
          <t>Visibility, lighting and blind spots</t>
        </is>
      </c>
      <c r="C11" s="6" t="inlineStr">
        <is>
          <t>Day/night inspection; lux and sight-distance checks</t>
        </is>
      </c>
      <c r="D11" s="6" t="inlineStr">
        <is>
          <t>lux, m</t>
        </is>
      </c>
      <c r="E11" s="6" t="inlineStr">
        <is>
          <t>Day, night, wet/adverse if feasible</t>
        </is>
      </c>
      <c r="F11" s="6" t="inlineStr">
        <is>
          <t>Road-safety auditor</t>
        </is>
      </c>
      <c r="G11" s="6" t="inlineStr">
        <is>
          <t>Photos, calibrated meter, all approaches</t>
        </is>
      </c>
      <c r="H11" s="6" t="inlineStr">
        <is>
          <t>Not Started</t>
        </is>
      </c>
    </row>
    <row r="12" ht="30" customHeight="1">
      <c r="A12" s="6" t="inlineStr">
        <is>
          <t>SV09</t>
        </is>
      </c>
      <c r="B12" s="6" t="inlineStr">
        <is>
          <t>Accessibility barriers</t>
        </is>
      </c>
      <c r="C12" s="6" t="inlineStr">
        <is>
          <t>Access audit with diverse users</t>
        </is>
      </c>
      <c r="D12" s="6" t="inlineStr">
        <is>
          <t>pass/fail; dimensions</t>
        </is>
      </c>
      <c r="E12" s="6" t="inlineStr">
        <is>
          <t>Day and operating peak</t>
        </is>
      </c>
      <c r="F12" s="6" t="inlineStr">
        <is>
          <t>Accessibility specialist</t>
        </is>
      </c>
      <c r="G12" s="6" t="inlineStr">
        <is>
          <t>Route continuity and user testing</t>
        </is>
      </c>
      <c r="H12" s="6" t="inlineStr">
        <is>
          <t>Not Started</t>
        </is>
      </c>
    </row>
    <row r="13" ht="30" customHeight="1">
      <c r="A13" s="6" t="inlineStr">
        <is>
          <t>SV10</t>
        </is>
      </c>
      <c r="B13" s="6" t="inlineStr">
        <is>
          <t>Drainage, utilities, installation space</t>
        </is>
      </c>
      <c r="C13" s="6" t="inlineStr">
        <is>
          <t>Services search and inspection</t>
        </is>
      </c>
      <c r="D13" s="6" t="inlineStr">
        <is>
          <t>location/capacity</t>
        </is>
      </c>
      <c r="E13" s="6" t="inlineStr">
        <is>
          <t>Daylight; wet-weather evidence</t>
        </is>
      </c>
      <c r="F13" s="6" t="inlineStr">
        <is>
          <t>Civil/electrical engineer</t>
        </is>
      </c>
      <c r="G13" s="6" t="inlineStr">
        <is>
          <t>Utility plans and potholing as approved</t>
        </is>
      </c>
      <c r="H13" s="6" t="inlineStr">
        <is>
          <t>Not Started</t>
        </is>
      </c>
    </row>
    <row r="14" ht="30" customHeight="1">
      <c r="A14" s="6" t="inlineStr">
        <is>
          <t>SV11</t>
        </is>
      </c>
      <c r="B14" s="6" t="inlineStr">
        <is>
          <t>CCTV and communications coverage</t>
        </is>
      </c>
      <c r="C14" s="6" t="inlineStr">
        <is>
          <t>RF/fibre survey and camera trial</t>
        </is>
      </c>
      <c r="D14" s="6" t="inlineStr">
        <is>
          <t>signal, latency, coverage</t>
        </is>
      </c>
      <c r="E14" s="6" t="inlineStr">
        <is>
          <t>Day/night/peak</t>
        </is>
      </c>
      <c r="F14" s="6" t="inlineStr">
        <is>
          <t>ICT/security team</t>
        </is>
      </c>
      <c r="G14" s="6" t="inlineStr">
        <is>
          <t>Packet loss, failover and privacy masking</t>
        </is>
      </c>
      <c r="H14" s="6" t="inlineStr">
        <is>
          <t>Not Started</t>
        </is>
      </c>
    </row>
    <row r="15" ht="30" customHeight="1">
      <c r="A15" s="6" t="inlineStr">
        <is>
          <t>SV12</t>
        </is>
      </c>
      <c r="B15" s="6" t="inlineStr">
        <is>
          <t>Stakeholder feedback</t>
        </is>
      </c>
      <c r="C15" s="6" t="inlineStr">
        <is>
          <t>Structured engagement</t>
        </is>
      </c>
      <c r="D15" s="6" t="inlineStr">
        <is>
          <t>themes / support</t>
        </is>
      </c>
      <c r="E15" s="6" t="inlineStr">
        <is>
          <t>Before design and after trial</t>
        </is>
      </c>
      <c r="F15" s="6" t="inlineStr">
        <is>
          <t>MPAJ community team</t>
        </is>
      </c>
      <c r="G15" s="6" t="inlineStr">
        <is>
          <t>Record vulnerable-user representation</t>
        </is>
      </c>
      <c r="H15" s="6" t="inlineStr">
        <is>
          <t>Not Started</t>
        </is>
      </c>
    </row>
  </sheetData>
  <mergeCells count="2">
    <mergeCell ref="A2:H2"/>
    <mergeCell ref="A1:H1"/>
  </mergeCells>
  <dataValidations count="1">
    <dataValidation sqref="H4:H15" showDropDown="0" showInputMessage="0" showErrorMessage="0" allowBlank="1" type="list">
      <formula1>"Not Started,In Progress,Complete,Blocked,Data Required"</formula1>
    </dataValidation>
  </dataValidation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9" customWidth="1" min="4" max="4"/>
    <col width="32" customWidth="1" min="5" max="5"/>
    <col width="42" customWidth="1" min="6" max="6"/>
    <col width="32" customWidth="1" min="7" max="7"/>
    <col width="18" customWidth="1" min="8" max="8"/>
  </cols>
  <sheetData>
    <row r="1" ht="34" customHeight="1">
      <c r="A1" s="1" t="inlineStr">
        <is>
          <t>Vehicle Movement Matrix</t>
        </is>
      </c>
    </row>
    <row r="2" ht="30" customHeight="1">
      <c r="A2" s="2" t="inlineStr">
        <is>
          <t>Conceptual movement controls; validate against site geometry and controller phasing.</t>
        </is>
      </c>
    </row>
    <row r="3" ht="32" customHeight="1">
      <c r="A3" s="5" t="inlineStr">
        <is>
          <t>Configuration</t>
        </is>
      </c>
      <c r="B3" s="5" t="inlineStr">
        <is>
          <t>Approach</t>
        </is>
      </c>
      <c r="C3" s="5" t="inlineStr">
        <is>
          <t>Movement</t>
        </is>
      </c>
      <c r="D3" s="5" t="inlineStr">
        <is>
          <t>Conflicting pedestrian route</t>
        </is>
      </c>
      <c r="E3" s="5" t="inlineStr">
        <is>
          <t>Proposed phase</t>
        </is>
      </c>
      <c r="F3" s="5" t="inlineStr">
        <is>
          <t>Control</t>
        </is>
      </c>
      <c r="G3" s="5" t="inlineStr">
        <is>
          <t>Failure response</t>
        </is>
      </c>
      <c r="H3" s="5" t="inlineStr">
        <is>
          <t>Evidence state</t>
        </is>
      </c>
    </row>
    <row r="4" ht="30" customHeight="1">
      <c r="A4" s="6" t="inlineStr">
        <is>
          <t>SC-B0</t>
        </is>
      </c>
      <c r="B4" s="6" t="inlineStr">
        <is>
          <t>East</t>
        </is>
      </c>
      <c r="C4" s="6" t="inlineStr">
        <is>
          <t>Through</t>
        </is>
      </c>
      <c r="D4" s="6" t="inlineStr">
        <is>
          <t>Adjacent/crossed pedestrian leg - site mapping required</t>
        </is>
      </c>
      <c r="E4" s="6" t="inlineStr">
        <is>
          <t>Vehicle phase with pedestrian WAIT</t>
        </is>
      </c>
      <c r="F4" s="6" t="inlineStr">
        <is>
          <t>Stop and prove stationary before conflicting WALK</t>
        </is>
      </c>
      <c r="G4" s="6" t="inlineStr">
        <is>
          <t>All-red/WAIT; manual safe plan</t>
        </is>
      </c>
      <c r="H4" s="6" t="inlineStr">
        <is>
          <t>Conceptual</t>
        </is>
      </c>
    </row>
    <row r="5" ht="30" customHeight="1">
      <c r="A5" s="6" t="inlineStr">
        <is>
          <t>SC-B0</t>
        </is>
      </c>
      <c r="B5" s="6" t="inlineStr">
        <is>
          <t>West</t>
        </is>
      </c>
      <c r="C5" s="6" t="inlineStr">
        <is>
          <t>Through</t>
        </is>
      </c>
      <c r="D5" s="6" t="inlineStr">
        <is>
          <t>Adjacent/crossed pedestrian leg - site mapping required</t>
        </is>
      </c>
      <c r="E5" s="6" t="inlineStr">
        <is>
          <t>Vehicle phase with pedestrian WAIT</t>
        </is>
      </c>
      <c r="F5" s="6" t="inlineStr">
        <is>
          <t>Stop and prove stationary before conflicting WALK</t>
        </is>
      </c>
      <c r="G5" s="6" t="inlineStr">
        <is>
          <t>All-red/WAIT; manual safe plan</t>
        </is>
      </c>
      <c r="H5" s="6" t="inlineStr">
        <is>
          <t>Conceptual</t>
        </is>
      </c>
    </row>
    <row r="6" ht="30" customHeight="1">
      <c r="A6" s="6" t="inlineStr">
        <is>
          <t>SC-T1</t>
        </is>
      </c>
      <c r="B6" s="6" t="inlineStr">
        <is>
          <t>East</t>
        </is>
      </c>
      <c r="C6" s="6" t="inlineStr">
        <is>
          <t>Left</t>
        </is>
      </c>
      <c r="D6" s="6" t="inlineStr">
        <is>
          <t>Adjacent/crossed pedestrian leg - site mapping required</t>
        </is>
      </c>
      <c r="E6" s="6" t="inlineStr">
        <is>
          <t>Vehicle phase with pedestrian WAIT</t>
        </is>
      </c>
      <c r="F6" s="6" t="inlineStr">
        <is>
          <t>Stop and prove stationary before conflicting WALK</t>
        </is>
      </c>
      <c r="G6" s="6" t="inlineStr">
        <is>
          <t>All-red/WAIT; manual safe plan</t>
        </is>
      </c>
      <c r="H6" s="6" t="inlineStr">
        <is>
          <t>Conceptual</t>
        </is>
      </c>
    </row>
    <row r="7" ht="30" customHeight="1">
      <c r="A7" s="6" t="inlineStr">
        <is>
          <t>SC-T1</t>
        </is>
      </c>
      <c r="B7" s="6" t="inlineStr">
        <is>
          <t>East</t>
        </is>
      </c>
      <c r="C7" s="6" t="inlineStr">
        <is>
          <t>Through</t>
        </is>
      </c>
      <c r="D7" s="6" t="inlineStr">
        <is>
          <t>Adjacent/crossed pedestrian leg - site mapping required</t>
        </is>
      </c>
      <c r="E7" s="6" t="inlineStr">
        <is>
          <t>Vehicle phase with pedestrian WAIT</t>
        </is>
      </c>
      <c r="F7" s="6" t="inlineStr">
        <is>
          <t>Stop and prove stationary before conflicting WALK</t>
        </is>
      </c>
      <c r="G7" s="6" t="inlineStr">
        <is>
          <t>All-red/WAIT; manual safe plan</t>
        </is>
      </c>
      <c r="H7" s="6" t="inlineStr">
        <is>
          <t>Conceptual</t>
        </is>
      </c>
    </row>
    <row r="8" ht="30" customHeight="1">
      <c r="A8" s="6" t="inlineStr">
        <is>
          <t>SC-T1</t>
        </is>
      </c>
      <c r="B8" s="6" t="inlineStr">
        <is>
          <t>East</t>
        </is>
      </c>
      <c r="C8" s="6" t="inlineStr">
        <is>
          <t>Right</t>
        </is>
      </c>
      <c r="D8" s="6" t="inlineStr">
        <is>
          <t>Adjacent/crossed pedestrian leg - site mapping required</t>
        </is>
      </c>
      <c r="E8" s="6" t="inlineStr">
        <is>
          <t>Vehicle phase with pedestrian WAIT</t>
        </is>
      </c>
      <c r="F8" s="6" t="inlineStr">
        <is>
          <t>Stop and prove stationary before conflicting WALK</t>
        </is>
      </c>
      <c r="G8" s="6" t="inlineStr">
        <is>
          <t>All-red/WAIT; manual safe plan</t>
        </is>
      </c>
      <c r="H8" s="6" t="inlineStr">
        <is>
          <t>Conceptual</t>
        </is>
      </c>
    </row>
    <row r="9" ht="30" customHeight="1">
      <c r="A9" s="6" t="inlineStr">
        <is>
          <t>SC-T1</t>
        </is>
      </c>
      <c r="B9" s="6" t="inlineStr">
        <is>
          <t>West</t>
        </is>
      </c>
      <c r="C9" s="6" t="inlineStr">
        <is>
          <t>Left</t>
        </is>
      </c>
      <c r="D9" s="6" t="inlineStr">
        <is>
          <t>Adjacent/crossed pedestrian leg - site mapping required</t>
        </is>
      </c>
      <c r="E9" s="6" t="inlineStr">
        <is>
          <t>Vehicle phase with pedestrian WAIT</t>
        </is>
      </c>
      <c r="F9" s="6" t="inlineStr">
        <is>
          <t>Stop and prove stationary before conflicting WALK</t>
        </is>
      </c>
      <c r="G9" s="6" t="inlineStr">
        <is>
          <t>All-red/WAIT; manual safe plan</t>
        </is>
      </c>
      <c r="H9" s="6" t="inlineStr">
        <is>
          <t>Conceptual</t>
        </is>
      </c>
    </row>
    <row r="10" ht="30" customHeight="1">
      <c r="A10" s="6" t="inlineStr">
        <is>
          <t>SC-T1</t>
        </is>
      </c>
      <c r="B10" s="6" t="inlineStr">
        <is>
          <t>West</t>
        </is>
      </c>
      <c r="C10" s="6" t="inlineStr">
        <is>
          <t>Through</t>
        </is>
      </c>
      <c r="D10" s="6" t="inlineStr">
        <is>
          <t>Adjacent/crossed pedestrian leg - site mapping required</t>
        </is>
      </c>
      <c r="E10" s="6" t="inlineStr">
        <is>
          <t>Vehicle phase with pedestrian WAIT</t>
        </is>
      </c>
      <c r="F10" s="6" t="inlineStr">
        <is>
          <t>Stop and prove stationary before conflicting WALK</t>
        </is>
      </c>
      <c r="G10" s="6" t="inlineStr">
        <is>
          <t>All-red/WAIT; manual safe plan</t>
        </is>
      </c>
      <c r="H10" s="6" t="inlineStr">
        <is>
          <t>Conceptual</t>
        </is>
      </c>
    </row>
    <row r="11" ht="30" customHeight="1">
      <c r="A11" s="6" t="inlineStr">
        <is>
          <t>SC-T1</t>
        </is>
      </c>
      <c r="B11" s="6" t="inlineStr">
        <is>
          <t>West</t>
        </is>
      </c>
      <c r="C11" s="6" t="inlineStr">
        <is>
          <t>Right</t>
        </is>
      </c>
      <c r="D11" s="6" t="inlineStr">
        <is>
          <t>Adjacent/crossed pedestrian leg - site mapping required</t>
        </is>
      </c>
      <c r="E11" s="6" t="inlineStr">
        <is>
          <t>Vehicle phase with pedestrian WAIT</t>
        </is>
      </c>
      <c r="F11" s="6" t="inlineStr">
        <is>
          <t>Stop and prove stationary before conflicting WALK</t>
        </is>
      </c>
      <c r="G11" s="6" t="inlineStr">
        <is>
          <t>All-red/WAIT; manual safe plan</t>
        </is>
      </c>
      <c r="H11" s="6" t="inlineStr">
        <is>
          <t>Conceptual</t>
        </is>
      </c>
    </row>
    <row r="12" ht="30" customHeight="1">
      <c r="A12" s="6" t="inlineStr">
        <is>
          <t>SC-T1</t>
        </is>
      </c>
      <c r="B12" s="6" t="inlineStr">
        <is>
          <t>South</t>
        </is>
      </c>
      <c r="C12" s="6" t="inlineStr">
        <is>
          <t>Left</t>
        </is>
      </c>
      <c r="D12" s="6" t="inlineStr">
        <is>
          <t>Adjacent/crossed pedestrian leg - site mapping required</t>
        </is>
      </c>
      <c r="E12" s="6" t="inlineStr">
        <is>
          <t>Vehicle phase with pedestrian WAIT</t>
        </is>
      </c>
      <c r="F12" s="6" t="inlineStr">
        <is>
          <t>Stop and prove stationary before conflicting WALK</t>
        </is>
      </c>
      <c r="G12" s="6" t="inlineStr">
        <is>
          <t>All-red/WAIT; manual safe plan</t>
        </is>
      </c>
      <c r="H12" s="6" t="inlineStr">
        <is>
          <t>Conceptual</t>
        </is>
      </c>
    </row>
    <row r="13" ht="30" customHeight="1">
      <c r="A13" s="6" t="inlineStr">
        <is>
          <t>SC-T1</t>
        </is>
      </c>
      <c r="B13" s="6" t="inlineStr">
        <is>
          <t>South</t>
        </is>
      </c>
      <c r="C13" s="6" t="inlineStr">
        <is>
          <t>Right</t>
        </is>
      </c>
      <c r="D13" s="6" t="inlineStr">
        <is>
          <t>Adjacent/crossed pedestrian leg - site mapping required</t>
        </is>
      </c>
      <c r="E13" s="6" t="inlineStr">
        <is>
          <t>Vehicle phase with pedestrian WAIT</t>
        </is>
      </c>
      <c r="F13" s="6" t="inlineStr">
        <is>
          <t>Stop and prove stationary before conflicting WALK</t>
        </is>
      </c>
      <c r="G13" s="6" t="inlineStr">
        <is>
          <t>All-red/WAIT; manual safe plan</t>
        </is>
      </c>
      <c r="H13" s="6" t="inlineStr">
        <is>
          <t>Conceptual</t>
        </is>
      </c>
    </row>
    <row r="14" ht="30" customHeight="1">
      <c r="A14" s="6" t="inlineStr">
        <is>
          <t>SC-X1</t>
        </is>
      </c>
      <c r="B14" s="6" t="inlineStr">
        <is>
          <t>North</t>
        </is>
      </c>
      <c r="C14" s="6" t="inlineStr">
        <is>
          <t>Left</t>
        </is>
      </c>
      <c r="D14" s="6" t="inlineStr">
        <is>
          <t>Adjacent/crossed pedestrian leg - site mapping required</t>
        </is>
      </c>
      <c r="E14" s="6" t="inlineStr">
        <is>
          <t>Vehicle phase with pedestrian WAIT</t>
        </is>
      </c>
      <c r="F14" s="6" t="inlineStr">
        <is>
          <t>Stop and prove stationary before conflicting WALK</t>
        </is>
      </c>
      <c r="G14" s="6" t="inlineStr">
        <is>
          <t>All-red/WAIT; manual safe plan</t>
        </is>
      </c>
      <c r="H14" s="6" t="inlineStr">
        <is>
          <t>Conceptual</t>
        </is>
      </c>
    </row>
    <row r="15" ht="30" customHeight="1">
      <c r="A15" s="6" t="inlineStr">
        <is>
          <t>SC-X1</t>
        </is>
      </c>
      <c r="B15" s="6" t="inlineStr">
        <is>
          <t>North</t>
        </is>
      </c>
      <c r="C15" s="6" t="inlineStr">
        <is>
          <t>Through</t>
        </is>
      </c>
      <c r="D15" s="6" t="inlineStr">
        <is>
          <t>Adjacent/crossed pedestrian leg - site mapping required</t>
        </is>
      </c>
      <c r="E15" s="6" t="inlineStr">
        <is>
          <t>Vehicle phase with pedestrian WAIT</t>
        </is>
      </c>
      <c r="F15" s="6" t="inlineStr">
        <is>
          <t>Stop and prove stationary before conflicting WALK</t>
        </is>
      </c>
      <c r="G15" s="6" t="inlineStr">
        <is>
          <t>All-red/WAIT; manual safe plan</t>
        </is>
      </c>
      <c r="H15" s="6" t="inlineStr">
        <is>
          <t>Conceptual</t>
        </is>
      </c>
    </row>
    <row r="16" ht="30" customHeight="1">
      <c r="A16" s="6" t="inlineStr">
        <is>
          <t>SC-X1</t>
        </is>
      </c>
      <c r="B16" s="6" t="inlineStr">
        <is>
          <t>North</t>
        </is>
      </c>
      <c r="C16" s="6" t="inlineStr">
        <is>
          <t>Right</t>
        </is>
      </c>
      <c r="D16" s="6" t="inlineStr">
        <is>
          <t>Adjacent/crossed pedestrian leg - site mapping required</t>
        </is>
      </c>
      <c r="E16" s="6" t="inlineStr">
        <is>
          <t>Vehicle phase with pedestrian WAIT</t>
        </is>
      </c>
      <c r="F16" s="6" t="inlineStr">
        <is>
          <t>Stop and prove stationary before conflicting WALK</t>
        </is>
      </c>
      <c r="G16" s="6" t="inlineStr">
        <is>
          <t>All-red/WAIT; manual safe plan</t>
        </is>
      </c>
      <c r="H16" s="6" t="inlineStr">
        <is>
          <t>Conceptual</t>
        </is>
      </c>
    </row>
    <row r="17" ht="30" customHeight="1">
      <c r="A17" s="6" t="inlineStr">
        <is>
          <t>SC-X1</t>
        </is>
      </c>
      <c r="B17" s="6" t="inlineStr">
        <is>
          <t>East</t>
        </is>
      </c>
      <c r="C17" s="6" t="inlineStr">
        <is>
          <t>Left</t>
        </is>
      </c>
      <c r="D17" s="6" t="inlineStr">
        <is>
          <t>Adjacent/crossed pedestrian leg - site mapping required</t>
        </is>
      </c>
      <c r="E17" s="6" t="inlineStr">
        <is>
          <t>Vehicle phase with pedestrian WAIT</t>
        </is>
      </c>
      <c r="F17" s="6" t="inlineStr">
        <is>
          <t>Stop and prove stationary before conflicting WALK</t>
        </is>
      </c>
      <c r="G17" s="6" t="inlineStr">
        <is>
          <t>All-red/WAIT; manual safe plan</t>
        </is>
      </c>
      <c r="H17" s="6" t="inlineStr">
        <is>
          <t>Conceptual</t>
        </is>
      </c>
    </row>
    <row r="18" ht="30" customHeight="1">
      <c r="A18" s="6" t="inlineStr">
        <is>
          <t>SC-X1</t>
        </is>
      </c>
      <c r="B18" s="6" t="inlineStr">
        <is>
          <t>East</t>
        </is>
      </c>
      <c r="C18" s="6" t="inlineStr">
        <is>
          <t>Through</t>
        </is>
      </c>
      <c r="D18" s="6" t="inlineStr">
        <is>
          <t>Adjacent/crossed pedestrian leg - site mapping required</t>
        </is>
      </c>
      <c r="E18" s="6" t="inlineStr">
        <is>
          <t>Vehicle phase with pedestrian WAIT</t>
        </is>
      </c>
      <c r="F18" s="6" t="inlineStr">
        <is>
          <t>Stop and prove stationary before conflicting WALK</t>
        </is>
      </c>
      <c r="G18" s="6" t="inlineStr">
        <is>
          <t>All-red/WAIT; manual safe plan</t>
        </is>
      </c>
      <c r="H18" s="6" t="inlineStr">
        <is>
          <t>Conceptual</t>
        </is>
      </c>
    </row>
    <row r="19" ht="30" customHeight="1">
      <c r="A19" s="6" t="inlineStr">
        <is>
          <t>SC-X1</t>
        </is>
      </c>
      <c r="B19" s="6" t="inlineStr">
        <is>
          <t>East</t>
        </is>
      </c>
      <c r="C19" s="6" t="inlineStr">
        <is>
          <t>Right</t>
        </is>
      </c>
      <c r="D19" s="6" t="inlineStr">
        <is>
          <t>Adjacent/crossed pedestrian leg - site mapping required</t>
        </is>
      </c>
      <c r="E19" s="6" t="inlineStr">
        <is>
          <t>Vehicle phase with pedestrian WAIT</t>
        </is>
      </c>
      <c r="F19" s="6" t="inlineStr">
        <is>
          <t>Stop and prove stationary before conflicting WALK</t>
        </is>
      </c>
      <c r="G19" s="6" t="inlineStr">
        <is>
          <t>All-red/WAIT; manual safe plan</t>
        </is>
      </c>
      <c r="H19" s="6" t="inlineStr">
        <is>
          <t>Conceptual</t>
        </is>
      </c>
    </row>
    <row r="20" ht="30" customHeight="1">
      <c r="A20" s="6" t="inlineStr">
        <is>
          <t>SC-X1</t>
        </is>
      </c>
      <c r="B20" s="6" t="inlineStr">
        <is>
          <t>South</t>
        </is>
      </c>
      <c r="C20" s="6" t="inlineStr">
        <is>
          <t>Left</t>
        </is>
      </c>
      <c r="D20" s="6" t="inlineStr">
        <is>
          <t>Adjacent/crossed pedestrian leg - site mapping required</t>
        </is>
      </c>
      <c r="E20" s="6" t="inlineStr">
        <is>
          <t>Vehicle phase with pedestrian WAIT</t>
        </is>
      </c>
      <c r="F20" s="6" t="inlineStr">
        <is>
          <t>Stop and prove stationary before conflicting WALK</t>
        </is>
      </c>
      <c r="G20" s="6" t="inlineStr">
        <is>
          <t>All-red/WAIT; manual safe plan</t>
        </is>
      </c>
      <c r="H20" s="6" t="inlineStr">
        <is>
          <t>Conceptual</t>
        </is>
      </c>
    </row>
    <row r="21" ht="30" customHeight="1">
      <c r="A21" s="6" t="inlineStr">
        <is>
          <t>SC-X1</t>
        </is>
      </c>
      <c r="B21" s="6" t="inlineStr">
        <is>
          <t>South</t>
        </is>
      </c>
      <c r="C21" s="6" t="inlineStr">
        <is>
          <t>Through</t>
        </is>
      </c>
      <c r="D21" s="6" t="inlineStr">
        <is>
          <t>Adjacent/crossed pedestrian leg - site mapping required</t>
        </is>
      </c>
      <c r="E21" s="6" t="inlineStr">
        <is>
          <t>Vehicle phase with pedestrian WAIT</t>
        </is>
      </c>
      <c r="F21" s="6" t="inlineStr">
        <is>
          <t>Stop and prove stationary before conflicting WALK</t>
        </is>
      </c>
      <c r="G21" s="6" t="inlineStr">
        <is>
          <t>All-red/WAIT; manual safe plan</t>
        </is>
      </c>
      <c r="H21" s="6" t="inlineStr">
        <is>
          <t>Conceptual</t>
        </is>
      </c>
    </row>
    <row r="22" ht="30" customHeight="1">
      <c r="A22" s="6" t="inlineStr">
        <is>
          <t>SC-X1</t>
        </is>
      </c>
      <c r="B22" s="6" t="inlineStr">
        <is>
          <t>South</t>
        </is>
      </c>
      <c r="C22" s="6" t="inlineStr">
        <is>
          <t>Right</t>
        </is>
      </c>
      <c r="D22" s="6" t="inlineStr">
        <is>
          <t>Adjacent/crossed pedestrian leg - site mapping required</t>
        </is>
      </c>
      <c r="E22" s="6" t="inlineStr">
        <is>
          <t>Vehicle phase with pedestrian WAIT</t>
        </is>
      </c>
      <c r="F22" s="6" t="inlineStr">
        <is>
          <t>Stop and prove stationary before conflicting WALK</t>
        </is>
      </c>
      <c r="G22" s="6" t="inlineStr">
        <is>
          <t>All-red/WAIT; manual safe plan</t>
        </is>
      </c>
      <c r="H22" s="6" t="inlineStr">
        <is>
          <t>Conceptual</t>
        </is>
      </c>
    </row>
    <row r="23" ht="30" customHeight="1">
      <c r="A23" s="6" t="inlineStr">
        <is>
          <t>SC-X1</t>
        </is>
      </c>
      <c r="B23" s="6" t="inlineStr">
        <is>
          <t>West</t>
        </is>
      </c>
      <c r="C23" s="6" t="inlineStr">
        <is>
          <t>Left</t>
        </is>
      </c>
      <c r="D23" s="6" t="inlineStr">
        <is>
          <t>Adjacent/crossed pedestrian leg - site mapping required</t>
        </is>
      </c>
      <c r="E23" s="6" t="inlineStr">
        <is>
          <t>Vehicle phase with pedestrian WAIT</t>
        </is>
      </c>
      <c r="F23" s="6" t="inlineStr">
        <is>
          <t>Stop and prove stationary before conflicting WALK</t>
        </is>
      </c>
      <c r="G23" s="6" t="inlineStr">
        <is>
          <t>All-red/WAIT; manual safe plan</t>
        </is>
      </c>
      <c r="H23" s="6" t="inlineStr">
        <is>
          <t>Conceptual</t>
        </is>
      </c>
    </row>
    <row r="24" ht="30" customHeight="1">
      <c r="A24" s="6" t="inlineStr">
        <is>
          <t>SC-X1</t>
        </is>
      </c>
      <c r="B24" s="6" t="inlineStr">
        <is>
          <t>West</t>
        </is>
      </c>
      <c r="C24" s="6" t="inlineStr">
        <is>
          <t>Through</t>
        </is>
      </c>
      <c r="D24" s="6" t="inlineStr">
        <is>
          <t>Adjacent/crossed pedestrian leg - site mapping required</t>
        </is>
      </c>
      <c r="E24" s="6" t="inlineStr">
        <is>
          <t>Vehicle phase with pedestrian WAIT</t>
        </is>
      </c>
      <c r="F24" s="6" t="inlineStr">
        <is>
          <t>Stop and prove stationary before conflicting WALK</t>
        </is>
      </c>
      <c r="G24" s="6" t="inlineStr">
        <is>
          <t>All-red/WAIT; manual safe plan</t>
        </is>
      </c>
      <c r="H24" s="6" t="inlineStr">
        <is>
          <t>Conceptual</t>
        </is>
      </c>
    </row>
    <row r="25" ht="30" customHeight="1">
      <c r="A25" s="6" t="inlineStr">
        <is>
          <t>SC-X1</t>
        </is>
      </c>
      <c r="B25" s="6" t="inlineStr">
        <is>
          <t>West</t>
        </is>
      </c>
      <c r="C25" s="6" t="inlineStr">
        <is>
          <t>Right</t>
        </is>
      </c>
      <c r="D25" s="6" t="inlineStr">
        <is>
          <t>Adjacent/crossed pedestrian leg - site mapping required</t>
        </is>
      </c>
      <c r="E25" s="6" t="inlineStr">
        <is>
          <t>Vehicle phase with pedestrian WAIT</t>
        </is>
      </c>
      <c r="F25" s="6" t="inlineStr">
        <is>
          <t>Stop and prove stationary before conflicting WALK</t>
        </is>
      </c>
      <c r="G25" s="6" t="inlineStr">
        <is>
          <t>All-red/WAIT; manual safe plan</t>
        </is>
      </c>
      <c r="H25" s="6" t="inlineStr">
        <is>
          <t>Conceptual</t>
        </is>
      </c>
    </row>
  </sheetData>
  <mergeCells count="2">
    <mergeCell ref="A2:H2"/>
    <mergeCell ref="A1:H1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8" customWidth="1" min="4" max="4"/>
    <col width="20" customWidth="1" min="5" max="5"/>
    <col width="13" customWidth="1" min="6" max="6"/>
    <col width="34" customWidth="1" min="7" max="7"/>
    <col width="14" customWidth="1" min="8" max="8"/>
    <col width="18" customWidth="1" min="9" max="9"/>
  </cols>
  <sheetData>
    <row r="1" ht="34" customHeight="1">
      <c r="A1" s="1" t="inlineStr">
        <is>
          <t>Pedestrian Route Matrix</t>
        </is>
      </c>
    </row>
    <row r="2" ht="30" customHeight="1">
      <c r="A2" s="2" t="inlineStr">
        <is>
          <t>Distances and exact conflict counts remain blank until a candidate site is surveyed.</t>
        </is>
      </c>
    </row>
    <row r="3" ht="32" customHeight="1">
      <c r="A3" s="5" t="inlineStr">
        <is>
          <t>Configuration</t>
        </is>
      </c>
      <c r="B3" s="5" t="inlineStr">
        <is>
          <t>Route ID</t>
        </is>
      </c>
      <c r="C3" s="5" t="inlineStr">
        <is>
          <t>Origin</t>
        </is>
      </c>
      <c r="D3" s="5" t="inlineStr">
        <is>
          <t>Destination</t>
        </is>
      </c>
      <c r="E3" s="5" t="inlineStr">
        <is>
          <t>Crossing leg</t>
        </is>
      </c>
      <c r="F3" s="5" t="inlineStr">
        <is>
          <t>Distance m</t>
        </is>
      </c>
      <c r="G3" s="5" t="inlineStr">
        <is>
          <t>Accessible route</t>
        </is>
      </c>
      <c r="H3" s="5" t="inlineStr">
        <is>
          <t>Conflict count</t>
        </is>
      </c>
      <c r="I3" s="5" t="inlineStr">
        <is>
          <t>Evidence state</t>
        </is>
      </c>
    </row>
    <row r="4" ht="30" customHeight="1">
      <c r="A4" s="6" t="inlineStr">
        <is>
          <t>SC-B0</t>
        </is>
      </c>
      <c r="B4" s="6" t="inlineStr">
        <is>
          <t>SC-B0-P1</t>
        </is>
      </c>
      <c r="C4" s="6" t="inlineStr">
        <is>
          <t>Kerb 1A</t>
        </is>
      </c>
      <c r="D4" s="6" t="inlineStr">
        <is>
          <t>Kerb 1B</t>
        </is>
      </c>
      <c r="E4" s="6" t="inlineStr">
        <is>
          <t>Main road</t>
        </is>
      </c>
      <c r="F4" s="13" t="inlineStr"/>
      <c r="G4" s="6" t="inlineStr">
        <is>
          <t>DATA REQUIRED FROM MPAJ / SITE SURVEY</t>
        </is>
      </c>
      <c r="H4" s="13" t="inlineStr"/>
      <c r="I4" s="6" t="inlineStr">
        <is>
          <t>Data Required</t>
        </is>
      </c>
    </row>
    <row r="5" ht="30" customHeight="1">
      <c r="A5" s="6" t="inlineStr">
        <is>
          <t>SC-T1</t>
        </is>
      </c>
      <c r="B5" s="6" t="inlineStr">
        <is>
          <t>SC-T1-P1</t>
        </is>
      </c>
      <c r="C5" s="6" t="inlineStr">
        <is>
          <t>Kerb 1A</t>
        </is>
      </c>
      <c r="D5" s="6" t="inlineStr">
        <is>
          <t>Kerb 1B</t>
        </is>
      </c>
      <c r="E5" s="6" t="inlineStr">
        <is>
          <t>West major</t>
        </is>
      </c>
      <c r="F5" s="13" t="inlineStr"/>
      <c r="G5" s="6" t="inlineStr">
        <is>
          <t>DATA REQUIRED FROM MPAJ / SITE SURVEY</t>
        </is>
      </c>
      <c r="H5" s="13" t="inlineStr"/>
      <c r="I5" s="6" t="inlineStr">
        <is>
          <t>Data Required</t>
        </is>
      </c>
    </row>
    <row r="6" ht="30" customHeight="1">
      <c r="A6" s="6" t="inlineStr">
        <is>
          <t>SC-T1</t>
        </is>
      </c>
      <c r="B6" s="6" t="inlineStr">
        <is>
          <t>SC-T1-P2</t>
        </is>
      </c>
      <c r="C6" s="6" t="inlineStr">
        <is>
          <t>Kerb 2A</t>
        </is>
      </c>
      <c r="D6" s="6" t="inlineStr">
        <is>
          <t>Kerb 2B</t>
        </is>
      </c>
      <c r="E6" s="6" t="inlineStr">
        <is>
          <t>East major</t>
        </is>
      </c>
      <c r="F6" s="13" t="inlineStr"/>
      <c r="G6" s="6" t="inlineStr">
        <is>
          <t>DATA REQUIRED FROM MPAJ / SITE SURVEY</t>
        </is>
      </c>
      <c r="H6" s="13" t="inlineStr"/>
      <c r="I6" s="6" t="inlineStr">
        <is>
          <t>Data Required</t>
        </is>
      </c>
    </row>
    <row r="7" ht="30" customHeight="1">
      <c r="A7" s="6" t="inlineStr">
        <is>
          <t>SC-T1</t>
        </is>
      </c>
      <c r="B7" s="6" t="inlineStr">
        <is>
          <t>SC-T1-P3</t>
        </is>
      </c>
      <c r="C7" s="6" t="inlineStr">
        <is>
          <t>Kerb 3A</t>
        </is>
      </c>
      <c r="D7" s="6" t="inlineStr">
        <is>
          <t>Kerb 3B</t>
        </is>
      </c>
      <c r="E7" s="6" t="inlineStr">
        <is>
          <t>Side road</t>
        </is>
      </c>
      <c r="F7" s="13" t="inlineStr"/>
      <c r="G7" s="6" t="inlineStr">
        <is>
          <t>DATA REQUIRED FROM MPAJ / SITE SURVEY</t>
        </is>
      </c>
      <c r="H7" s="13" t="inlineStr"/>
      <c r="I7" s="6" t="inlineStr">
        <is>
          <t>Data Required</t>
        </is>
      </c>
    </row>
    <row r="8" ht="30" customHeight="1">
      <c r="A8" s="6" t="inlineStr">
        <is>
          <t>SC-X1</t>
        </is>
      </c>
      <c r="B8" s="6" t="inlineStr">
        <is>
          <t>SC-X1-P1</t>
        </is>
      </c>
      <c r="C8" s="6" t="inlineStr">
        <is>
          <t>Kerb 1A</t>
        </is>
      </c>
      <c r="D8" s="6" t="inlineStr">
        <is>
          <t>Kerb 1B</t>
        </is>
      </c>
      <c r="E8" s="6" t="inlineStr">
        <is>
          <t>North</t>
        </is>
      </c>
      <c r="F8" s="13" t="inlineStr"/>
      <c r="G8" s="6" t="inlineStr">
        <is>
          <t>DATA REQUIRED FROM MPAJ / SITE SURVEY</t>
        </is>
      </c>
      <c r="H8" s="13" t="inlineStr"/>
      <c r="I8" s="6" t="inlineStr">
        <is>
          <t>Data Required</t>
        </is>
      </c>
    </row>
    <row r="9" ht="30" customHeight="1">
      <c r="A9" s="6" t="inlineStr">
        <is>
          <t>SC-X1</t>
        </is>
      </c>
      <c r="B9" s="6" t="inlineStr">
        <is>
          <t>SC-X1-P2</t>
        </is>
      </c>
      <c r="C9" s="6" t="inlineStr">
        <is>
          <t>Kerb 2A</t>
        </is>
      </c>
      <c r="D9" s="6" t="inlineStr">
        <is>
          <t>Kerb 2B</t>
        </is>
      </c>
      <c r="E9" s="6" t="inlineStr">
        <is>
          <t>East</t>
        </is>
      </c>
      <c r="F9" s="13" t="inlineStr"/>
      <c r="G9" s="6" t="inlineStr">
        <is>
          <t>DATA REQUIRED FROM MPAJ / SITE SURVEY</t>
        </is>
      </c>
      <c r="H9" s="13" t="inlineStr"/>
      <c r="I9" s="6" t="inlineStr">
        <is>
          <t>Data Required</t>
        </is>
      </c>
    </row>
    <row r="10" ht="30" customHeight="1">
      <c r="A10" s="6" t="inlineStr">
        <is>
          <t>SC-X1</t>
        </is>
      </c>
      <c r="B10" s="6" t="inlineStr">
        <is>
          <t>SC-X1-P3</t>
        </is>
      </c>
      <c r="C10" s="6" t="inlineStr">
        <is>
          <t>Kerb 3A</t>
        </is>
      </c>
      <c r="D10" s="6" t="inlineStr">
        <is>
          <t>Kerb 3B</t>
        </is>
      </c>
      <c r="E10" s="6" t="inlineStr">
        <is>
          <t>South</t>
        </is>
      </c>
      <c r="F10" s="13" t="inlineStr"/>
      <c r="G10" s="6" t="inlineStr">
        <is>
          <t>DATA REQUIRED FROM MPAJ / SITE SURVEY</t>
        </is>
      </c>
      <c r="H10" s="13" t="inlineStr"/>
      <c r="I10" s="6" t="inlineStr">
        <is>
          <t>Data Required</t>
        </is>
      </c>
    </row>
    <row r="11" ht="30" customHeight="1">
      <c r="A11" s="6" t="inlineStr">
        <is>
          <t>SC-X1</t>
        </is>
      </c>
      <c r="B11" s="6" t="inlineStr">
        <is>
          <t>SC-X1-P4</t>
        </is>
      </c>
      <c r="C11" s="6" t="inlineStr">
        <is>
          <t>Kerb 4A</t>
        </is>
      </c>
      <c r="D11" s="6" t="inlineStr">
        <is>
          <t>Kerb 4B</t>
        </is>
      </c>
      <c r="E11" s="6" t="inlineStr">
        <is>
          <t>West</t>
        </is>
      </c>
      <c r="F11" s="13" t="inlineStr"/>
      <c r="G11" s="6" t="inlineStr">
        <is>
          <t>DATA REQUIRED FROM MPAJ / SITE SURVEY</t>
        </is>
      </c>
      <c r="H11" s="13" t="inlineStr"/>
      <c r="I11" s="6" t="inlineStr">
        <is>
          <t>Data Required</t>
        </is>
      </c>
    </row>
  </sheetData>
  <mergeCells count="2">
    <mergeCell ref="A1:I1"/>
    <mergeCell ref="A2:I2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75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29" customWidth="1" min="4" max="4"/>
    <col width="13" customWidth="1" min="5" max="5"/>
    <col width="32" customWidth="1" min="6" max="6"/>
    <col width="28" customWidth="1" min="7" max="7"/>
    <col width="42" customWidth="1" min="8" max="8"/>
    <col width="40" customWidth="1" min="9" max="9"/>
    <col width="32" customWidth="1" min="10" max="10"/>
    <col width="32" customWidth="1" min="11" max="11"/>
    <col width="34" customWidth="1" min="12" max="12"/>
    <col width="46" customWidth="1" min="13" max="13"/>
    <col width="42" customWidth="1" min="14" max="14"/>
    <col width="46" customWidth="1" min="15" max="15"/>
  </cols>
  <sheetData>
    <row r="1" ht="34" customHeight="1">
      <c r="A1" s="1" t="inlineStr">
        <is>
          <t>Scenario Register</t>
        </is>
      </c>
    </row>
    <row r="2" ht="30" customHeight="1">
      <c r="A2" s="2" t="inlineStr">
        <is>
          <t>Each scenario is mapped for SC-B0, SC-T1 and SC-X1; adaptations retain the protected-WALK invariant.</t>
        </is>
      </c>
    </row>
    <row r="3" ht="32" customHeight="1">
      <c r="A3" s="5" t="inlineStr">
        <is>
          <t>Scenario key</t>
        </is>
      </c>
      <c r="B3" s="5" t="inlineStr">
        <is>
          <t>Scenario ID</t>
        </is>
      </c>
      <c r="C3" s="5" t="inlineStr">
        <is>
          <t>Type</t>
        </is>
      </c>
      <c r="D3" s="5" t="inlineStr">
        <is>
          <t>Scenario</t>
        </is>
      </c>
      <c r="E3" s="5" t="inlineStr">
        <is>
          <t>Configuration</t>
        </is>
      </c>
      <c r="F3" s="5" t="inlineStr">
        <is>
          <t>Initial positions</t>
        </is>
      </c>
      <c r="G3" s="5" t="inlineStr">
        <is>
          <t>Trigger</t>
        </is>
      </c>
      <c r="H3" s="5" t="inlineStr">
        <is>
          <t>Pedestrian movement</t>
        </is>
      </c>
      <c r="I3" s="5" t="inlineStr">
        <is>
          <t>Vehicle movement</t>
        </is>
      </c>
      <c r="J3" s="5" t="inlineStr">
        <is>
          <t>Signal state</t>
        </is>
      </c>
      <c r="K3" s="5" t="inlineStr">
        <is>
          <t>Detection</t>
        </is>
      </c>
      <c r="L3" s="5" t="inlineStr">
        <is>
          <t>Conflict point</t>
        </is>
      </c>
      <c r="M3" s="5" t="inlineStr">
        <is>
          <t>System response</t>
        </is>
      </c>
      <c r="N3" s="5" t="inlineStr">
        <is>
          <t>Safe outcome</t>
        </is>
      </c>
      <c r="O3" s="5" t="inlineStr">
        <is>
          <t>Validation test</t>
        </is>
      </c>
    </row>
    <row r="4" ht="30" customHeight="1">
      <c r="A4" s="6" t="inlineStr">
        <is>
          <t>SC-B0-S01</t>
        </is>
      </c>
      <c r="B4" s="6" t="inlineStr">
        <is>
          <t>S01</t>
        </is>
      </c>
      <c r="C4" s="6" t="inlineStr">
        <is>
          <t>Normal</t>
        </is>
      </c>
      <c r="D4" s="6" t="inlineStr">
        <is>
          <t>Protected pedestrian request</t>
        </is>
      </c>
      <c r="E4" s="6" t="inlineStr">
        <is>
          <t>SC-B0</t>
        </is>
      </c>
      <c r="F4" s="6" t="inlineStr">
        <is>
          <t>DATA REQUIRED FROM MPAJ / SITE SURVEY</t>
        </is>
      </c>
      <c r="G4" s="6" t="inlineStr">
        <is>
          <t>Protected pedestrian request</t>
        </is>
      </c>
      <c r="H4" s="6" t="inlineStr">
        <is>
          <t>WAIT/HOLD until all relevant conflicting movements are proven stopped; extend for slow users</t>
        </is>
      </c>
      <c r="I4" s="6" t="inlineStr">
        <is>
          <t>Layout-specific approach/turning path; exact coordinates require simulation geometry</t>
        </is>
      </c>
      <c r="J4" s="6" t="inlineStr">
        <is>
          <t>Vehicle RED before WALK; WAIT on uncertainty/failure</t>
        </is>
      </c>
      <c r="K4" s="6" t="inlineStr">
        <is>
          <t>Sensor fusion with confidence threshold</t>
        </is>
      </c>
      <c r="L4" s="6" t="inlineStr">
        <is>
          <t>SC-B0 conflict zone - survey/simulation required</t>
        </is>
      </c>
      <c r="M4" s="6" t="inlineStr">
        <is>
          <t>Baseline sequence retained</t>
        </is>
      </c>
      <c r="N4" s="6" t="inlineStr">
        <is>
          <t>Pedestrian protected or held; event logged; human review for violation/emergency</t>
        </is>
      </c>
      <c r="O4" s="6" t="inlineStr">
        <is>
          <t>Assert no WALK with any conflicting movement permissive; verify seven stages and final zero speed</t>
        </is>
      </c>
    </row>
    <row r="5" ht="30" customHeight="1">
      <c r="A5" s="6" t="inlineStr">
        <is>
          <t>SC-B0-S02</t>
        </is>
      </c>
      <c r="B5" s="6" t="inlineStr">
        <is>
          <t>S02</t>
        </is>
      </c>
      <c r="C5" s="6" t="inlineStr">
        <is>
          <t>Violation</t>
        </is>
      </c>
      <c r="D5" s="6" t="inlineStr">
        <is>
          <t>Left-turn conflict</t>
        </is>
      </c>
      <c r="E5" s="6" t="inlineStr">
        <is>
          <t>SC-B0</t>
        </is>
      </c>
      <c r="F5" s="6" t="inlineStr">
        <is>
          <t>DATA REQUIRED FROM MPAJ / SITE SURVEY</t>
        </is>
      </c>
      <c r="G5" s="6" t="inlineStr">
        <is>
          <t>Left-turn conflict</t>
        </is>
      </c>
      <c r="H5" s="6" t="inlineStr">
        <is>
          <t>WAIT/HOLD until all relevant conflicting movements are proven stopped; extend for slow users</t>
        </is>
      </c>
      <c r="I5" s="6" t="inlineStr">
        <is>
          <t>Layout-specific approach/turning path; exact coordinates require simulation geometry</t>
        </is>
      </c>
      <c r="J5" s="6" t="inlineStr">
        <is>
          <t>Vehicle RED before WALK; WAIT on uncertainty/failure</t>
        </is>
      </c>
      <c r="K5" s="6" t="inlineStr">
        <is>
          <t>Sensor fusion with confidence threshold</t>
        </is>
      </c>
      <c r="L5" s="6" t="inlineStr">
        <is>
          <t>SC-B0 conflict zone - survey/simulation required</t>
        </is>
      </c>
      <c r="M5" s="6" t="inlineStr">
        <is>
          <t>Baseline sequence retained</t>
        </is>
      </c>
      <c r="N5" s="6" t="inlineStr">
        <is>
          <t>Pedestrian protected or held; event logged; human review for violation/emergency</t>
        </is>
      </c>
      <c r="O5" s="6" t="inlineStr">
        <is>
          <t>Assert no WALK with any conflicting movement permissive; verify seven stages and final zero speed</t>
        </is>
      </c>
    </row>
    <row r="6" ht="30" customHeight="1">
      <c r="A6" s="6" t="inlineStr">
        <is>
          <t>SC-B0-S03</t>
        </is>
      </c>
      <c r="B6" s="6" t="inlineStr">
        <is>
          <t>S03</t>
        </is>
      </c>
      <c r="C6" s="6" t="inlineStr">
        <is>
          <t>Violation</t>
        </is>
      </c>
      <c r="D6" s="6" t="inlineStr">
        <is>
          <t>Right-turn conflict</t>
        </is>
      </c>
      <c r="E6" s="6" t="inlineStr">
        <is>
          <t>SC-B0</t>
        </is>
      </c>
      <c r="F6" s="6" t="inlineStr">
        <is>
          <t>DATA REQUIRED FROM MPAJ / SITE SURVEY</t>
        </is>
      </c>
      <c r="G6" s="6" t="inlineStr">
        <is>
          <t>Right-turn conflict</t>
        </is>
      </c>
      <c r="H6" s="6" t="inlineStr">
        <is>
          <t>WAIT/HOLD until all relevant conflicting movements are proven stopped; extend for slow users</t>
        </is>
      </c>
      <c r="I6" s="6" t="inlineStr">
        <is>
          <t>Layout-specific approach/turning path; exact coordinates require simulation geometry</t>
        </is>
      </c>
      <c r="J6" s="6" t="inlineStr">
        <is>
          <t>Vehicle RED before WALK; WAIT on uncertainty/failure</t>
        </is>
      </c>
      <c r="K6" s="6" t="inlineStr">
        <is>
          <t>Sensor fusion with confidence threshold</t>
        </is>
      </c>
      <c r="L6" s="6" t="inlineStr">
        <is>
          <t>SC-B0 conflict zone - survey/simulation required</t>
        </is>
      </c>
      <c r="M6" s="6" t="inlineStr">
        <is>
          <t>Baseline sequence retained</t>
        </is>
      </c>
      <c r="N6" s="6" t="inlineStr">
        <is>
          <t>Pedestrian protected or held; event logged; human review for violation/emergency</t>
        </is>
      </c>
      <c r="O6" s="6" t="inlineStr">
        <is>
          <t>Assert no WALK with any conflicting movement permissive; verify seven stages and final zero speed</t>
        </is>
      </c>
    </row>
    <row r="7" ht="30" customHeight="1">
      <c r="A7" s="6" t="inlineStr">
        <is>
          <t>SC-B0-S04</t>
        </is>
      </c>
      <c r="B7" s="6" t="inlineStr">
        <is>
          <t>S04</t>
        </is>
      </c>
      <c r="C7" s="6" t="inlineStr">
        <is>
          <t>Violation</t>
        </is>
      </c>
      <c r="D7" s="6" t="inlineStr">
        <is>
          <t>Through-vehicle conflict</t>
        </is>
      </c>
      <c r="E7" s="6" t="inlineStr">
        <is>
          <t>SC-B0</t>
        </is>
      </c>
      <c r="F7" s="6" t="inlineStr">
        <is>
          <t>DATA REQUIRED FROM MPAJ / SITE SURVEY</t>
        </is>
      </c>
      <c r="G7" s="6" t="inlineStr">
        <is>
          <t>Through-vehicle conflict</t>
        </is>
      </c>
      <c r="H7" s="6" t="inlineStr">
        <is>
          <t>WAIT/HOLD until all relevant conflicting movements are proven stopped; extend for slow users</t>
        </is>
      </c>
      <c r="I7" s="6" t="inlineStr">
        <is>
          <t>Layout-specific approach/turning path; exact coordinates require simulation geometry</t>
        </is>
      </c>
      <c r="J7" s="6" t="inlineStr">
        <is>
          <t>Vehicle RED before WALK; WAIT on uncertainty/failure</t>
        </is>
      </c>
      <c r="K7" s="6" t="inlineStr">
        <is>
          <t>Sensor fusion with confidence threshold</t>
        </is>
      </c>
      <c r="L7" s="6" t="inlineStr">
        <is>
          <t>SC-B0 conflict zone - survey/simulation required</t>
        </is>
      </c>
      <c r="M7" s="6" t="inlineStr">
        <is>
          <t>Baseline sequence retained</t>
        </is>
      </c>
      <c r="N7" s="6" t="inlineStr">
        <is>
          <t>Pedestrian protected or held; event logged; human review for violation/emergency</t>
        </is>
      </c>
      <c r="O7" s="6" t="inlineStr">
        <is>
          <t>Assert no WALK with any conflicting movement permissive; verify seven stages and final zero speed</t>
        </is>
      </c>
    </row>
    <row r="8" ht="30" customHeight="1">
      <c r="A8" s="6" t="inlineStr">
        <is>
          <t>SC-B0-S05</t>
        </is>
      </c>
      <c r="B8" s="6" t="inlineStr">
        <is>
          <t>S05</t>
        </is>
      </c>
      <c r="C8" s="6" t="inlineStr">
        <is>
          <t>Violation</t>
        </is>
      </c>
      <c r="D8" s="6" t="inlineStr">
        <is>
          <t>Red-light violation</t>
        </is>
      </c>
      <c r="E8" s="6" t="inlineStr">
        <is>
          <t>SC-B0</t>
        </is>
      </c>
      <c r="F8" s="6" t="inlineStr">
        <is>
          <t>DATA REQUIRED FROM MPAJ / SITE SURVEY</t>
        </is>
      </c>
      <c r="G8" s="6" t="inlineStr">
        <is>
          <t>Red-light violation</t>
        </is>
      </c>
      <c r="H8" s="6" t="inlineStr">
        <is>
          <t>WAIT/HOLD until all relevant conflicting movements are proven stopped; extend for slow users</t>
        </is>
      </c>
      <c r="I8" s="6" t="inlineStr">
        <is>
          <t>Layout-specific approach/turning path; exact coordinates require simulation geometry</t>
        </is>
      </c>
      <c r="J8" s="6" t="inlineStr">
        <is>
          <t>Vehicle RED before WALK; WAIT on uncertainty/failure</t>
        </is>
      </c>
      <c r="K8" s="6" t="inlineStr">
        <is>
          <t>Sensor fusion with confidence threshold</t>
        </is>
      </c>
      <c r="L8" s="6" t="inlineStr">
        <is>
          <t>SC-B0 conflict zone - survey/simulation required</t>
        </is>
      </c>
      <c r="M8" s="6" t="inlineStr">
        <is>
          <t>Baseline sequence retained</t>
        </is>
      </c>
      <c r="N8" s="6" t="inlineStr">
        <is>
          <t>Pedestrian protected or held; event logged; human review for violation/emergency</t>
        </is>
      </c>
      <c r="O8" s="6" t="inlineStr">
        <is>
          <t>Assert no WALK with any conflicting movement permissive; verify seven stages and final zero speed</t>
        </is>
      </c>
    </row>
    <row r="9" ht="30" customHeight="1">
      <c r="A9" s="6" t="inlineStr">
        <is>
          <t>SC-B0-S06</t>
        </is>
      </c>
      <c r="B9" s="6" t="inlineStr">
        <is>
          <t>S06</t>
        </is>
      </c>
      <c r="C9" s="6" t="inlineStr">
        <is>
          <t>Violation</t>
        </is>
      </c>
      <c r="D9" s="6" t="inlineStr">
        <is>
          <t>Speeding approach</t>
        </is>
      </c>
      <c r="E9" s="6" t="inlineStr">
        <is>
          <t>SC-B0</t>
        </is>
      </c>
      <c r="F9" s="6" t="inlineStr">
        <is>
          <t>DATA REQUIRED FROM MPAJ / SITE SURVEY</t>
        </is>
      </c>
      <c r="G9" s="6" t="inlineStr">
        <is>
          <t>Speeding approach</t>
        </is>
      </c>
      <c r="H9" s="6" t="inlineStr">
        <is>
          <t>WAIT/HOLD until all relevant conflicting movements are proven stopped; extend for slow users</t>
        </is>
      </c>
      <c r="I9" s="6" t="inlineStr">
        <is>
          <t>Layout-specific approach/turning path; exact coordinates require simulation geometry</t>
        </is>
      </c>
      <c r="J9" s="6" t="inlineStr">
        <is>
          <t>Vehicle RED before WALK; WAIT on uncertainty/failure</t>
        </is>
      </c>
      <c r="K9" s="6" t="inlineStr">
        <is>
          <t>Sensor fusion with confidence threshold</t>
        </is>
      </c>
      <c r="L9" s="6" t="inlineStr">
        <is>
          <t>SC-B0 conflict zone - survey/simulation required</t>
        </is>
      </c>
      <c r="M9" s="6" t="inlineStr">
        <is>
          <t>Baseline sequence retained</t>
        </is>
      </c>
      <c r="N9" s="6" t="inlineStr">
        <is>
          <t>Pedestrian protected or held; event logged; human review for violation/emergency</t>
        </is>
      </c>
      <c r="O9" s="6" t="inlineStr">
        <is>
          <t>Assert no WALK with any conflicting movement permissive; verify seven stages and final zero speed</t>
        </is>
      </c>
    </row>
    <row r="10" ht="30" customHeight="1">
      <c r="A10" s="6" t="inlineStr">
        <is>
          <t>SC-B0-S07</t>
        </is>
      </c>
      <c r="B10" s="6" t="inlineStr">
        <is>
          <t>S07</t>
        </is>
      </c>
      <c r="C10" s="6" t="inlineStr">
        <is>
          <t>Violation</t>
        </is>
      </c>
      <c r="D10" s="6" t="inlineStr">
        <is>
          <t>Failure to yield</t>
        </is>
      </c>
      <c r="E10" s="6" t="inlineStr">
        <is>
          <t>SC-B0</t>
        </is>
      </c>
      <c r="F10" s="6" t="inlineStr">
        <is>
          <t>DATA REQUIRED FROM MPAJ / SITE SURVEY</t>
        </is>
      </c>
      <c r="G10" s="6" t="inlineStr">
        <is>
          <t>Failure to yield</t>
        </is>
      </c>
      <c r="H10" s="6" t="inlineStr">
        <is>
          <t>WAIT/HOLD until all relevant conflicting movements are proven stopped; extend for slow users</t>
        </is>
      </c>
      <c r="I10" s="6" t="inlineStr">
        <is>
          <t>Layout-specific approach/turning path; exact coordinates require simulation geometry</t>
        </is>
      </c>
      <c r="J10" s="6" t="inlineStr">
        <is>
          <t>Vehicle RED before WALK; WAIT on uncertainty/failure</t>
        </is>
      </c>
      <c r="K10" s="6" t="inlineStr">
        <is>
          <t>Sensor fusion with confidence threshold</t>
        </is>
      </c>
      <c r="L10" s="6" t="inlineStr">
        <is>
          <t>SC-B0 conflict zone - survey/simulation required</t>
        </is>
      </c>
      <c r="M10" s="6" t="inlineStr">
        <is>
          <t>Baseline sequence retained</t>
        </is>
      </c>
      <c r="N10" s="6" t="inlineStr">
        <is>
          <t>Pedestrian protected or held; event logged; human review for violation/emergency</t>
        </is>
      </c>
      <c r="O10" s="6" t="inlineStr">
        <is>
          <t>Assert no WALK with any conflicting movement permissive; verify seven stages and final zero speed</t>
        </is>
      </c>
    </row>
    <row r="11" ht="30" customHeight="1">
      <c r="A11" s="6" t="inlineStr">
        <is>
          <t>SC-B0-S08</t>
        </is>
      </c>
      <c r="B11" s="6" t="inlineStr">
        <is>
          <t>S08</t>
        </is>
      </c>
      <c r="C11" s="6" t="inlineStr">
        <is>
          <t>Violation</t>
        </is>
      </c>
      <c r="D11" s="6" t="inlineStr">
        <is>
          <t>Vehicle stopping over crossing</t>
        </is>
      </c>
      <c r="E11" s="6" t="inlineStr">
        <is>
          <t>SC-B0</t>
        </is>
      </c>
      <c r="F11" s="6" t="inlineStr">
        <is>
          <t>DATA REQUIRED FROM MPAJ / SITE SURVEY</t>
        </is>
      </c>
      <c r="G11" s="6" t="inlineStr">
        <is>
          <t>Vehicle stopping over crossing</t>
        </is>
      </c>
      <c r="H11" s="6" t="inlineStr">
        <is>
          <t>WAIT/HOLD until all relevant conflicting movements are proven stopped; extend for slow users</t>
        </is>
      </c>
      <c r="I11" s="6" t="inlineStr">
        <is>
          <t>Layout-specific approach/turning path; exact coordinates require simulation geometry</t>
        </is>
      </c>
      <c r="J11" s="6" t="inlineStr">
        <is>
          <t>Vehicle RED before WALK; WAIT on uncertainty/failure</t>
        </is>
      </c>
      <c r="K11" s="6" t="inlineStr">
        <is>
          <t>Sensor fusion with confidence threshold</t>
        </is>
      </c>
      <c r="L11" s="6" t="inlineStr">
        <is>
          <t>SC-B0 conflict zone - survey/simulation required</t>
        </is>
      </c>
      <c r="M11" s="6" t="inlineStr">
        <is>
          <t>Baseline sequence retained</t>
        </is>
      </c>
      <c r="N11" s="6" t="inlineStr">
        <is>
          <t>Pedestrian protected or held; event logged; human review for violation/emergency</t>
        </is>
      </c>
      <c r="O11" s="6" t="inlineStr">
        <is>
          <t>Assert no WALK with any conflicting movement permissive; verify seven stages and final zero speed</t>
        </is>
      </c>
    </row>
    <row r="12" ht="30" customHeight="1">
      <c r="A12" s="6" t="inlineStr">
        <is>
          <t>SC-B0-S09</t>
        </is>
      </c>
      <c r="B12" s="6" t="inlineStr">
        <is>
          <t>S09</t>
        </is>
      </c>
      <c r="C12" s="6" t="inlineStr">
        <is>
          <t>Violation</t>
        </is>
      </c>
      <c r="D12" s="6" t="inlineStr">
        <is>
          <t>Queue spillback</t>
        </is>
      </c>
      <c r="E12" s="6" t="inlineStr">
        <is>
          <t>SC-B0</t>
        </is>
      </c>
      <c r="F12" s="6" t="inlineStr">
        <is>
          <t>DATA REQUIRED FROM MPAJ / SITE SURVEY</t>
        </is>
      </c>
      <c r="G12" s="6" t="inlineStr">
        <is>
          <t>Queue spillback</t>
        </is>
      </c>
      <c r="H12" s="6" t="inlineStr">
        <is>
          <t>WAIT/HOLD until all relevant conflicting movements are proven stopped; extend for slow users</t>
        </is>
      </c>
      <c r="I12" s="6" t="inlineStr">
        <is>
          <t>Layout-specific approach/turning path; exact coordinates require simulation geometry</t>
        </is>
      </c>
      <c r="J12" s="6" t="inlineStr">
        <is>
          <t>Vehicle RED before WALK; WAIT on uncertainty/failure</t>
        </is>
      </c>
      <c r="K12" s="6" t="inlineStr">
        <is>
          <t>Sensor fusion with confidence threshold</t>
        </is>
      </c>
      <c r="L12" s="6" t="inlineStr">
        <is>
          <t>SC-B0 conflict zone - survey/simulation required</t>
        </is>
      </c>
      <c r="M12" s="6" t="inlineStr">
        <is>
          <t>Baseline sequence retained</t>
        </is>
      </c>
      <c r="N12" s="6" t="inlineStr">
        <is>
          <t>Pedestrian protected or held; event logged; human review for violation/emergency</t>
        </is>
      </c>
      <c r="O12" s="6" t="inlineStr">
        <is>
          <t>Assert no WALK with any conflicting movement permissive; verify seven stages and final zero speed</t>
        </is>
      </c>
    </row>
    <row r="13" ht="30" customHeight="1">
      <c r="A13" s="6" t="inlineStr">
        <is>
          <t>SC-B0-S10</t>
        </is>
      </c>
      <c r="B13" s="6" t="inlineStr">
        <is>
          <t>S10</t>
        </is>
      </c>
      <c r="C13" s="6" t="inlineStr">
        <is>
          <t>Violation</t>
        </is>
      </c>
      <c r="D13" s="6" t="inlineStr">
        <is>
          <t>Illegal U-turn</t>
        </is>
      </c>
      <c r="E13" s="6" t="inlineStr">
        <is>
          <t>SC-B0</t>
        </is>
      </c>
      <c r="F13" s="6" t="inlineStr">
        <is>
          <t>DATA REQUIRED FROM MPAJ / SITE SURVEY</t>
        </is>
      </c>
      <c r="G13" s="6" t="inlineStr">
        <is>
          <t>Illegal U-turn</t>
        </is>
      </c>
      <c r="H13" s="6" t="inlineStr">
        <is>
          <t>WAIT/HOLD until all relevant conflicting movements are proven stopped; extend for slow users</t>
        </is>
      </c>
      <c r="I13" s="6" t="inlineStr">
        <is>
          <t>Layout-specific approach/turning path; exact coordinates require simulation geometry</t>
        </is>
      </c>
      <c r="J13" s="6" t="inlineStr">
        <is>
          <t>Vehicle RED before WALK; WAIT on uncertainty/failure</t>
        </is>
      </c>
      <c r="K13" s="6" t="inlineStr">
        <is>
          <t>Sensor fusion with confidence threshold</t>
        </is>
      </c>
      <c r="L13" s="6" t="inlineStr">
        <is>
          <t>SC-B0 conflict zone - survey/simulation required</t>
        </is>
      </c>
      <c r="M13" s="6" t="inlineStr">
        <is>
          <t>Baseline sequence retained</t>
        </is>
      </c>
      <c r="N13" s="6" t="inlineStr">
        <is>
          <t>Pedestrian protected or held; event logged; human review for violation/emergency</t>
        </is>
      </c>
      <c r="O13" s="6" t="inlineStr">
        <is>
          <t>Assert no WALK with any conflicting movement permissive; verify seven stages and final zero speed</t>
        </is>
      </c>
    </row>
    <row r="14" ht="30" customHeight="1">
      <c r="A14" s="6" t="inlineStr">
        <is>
          <t>SC-B0-S11</t>
        </is>
      </c>
      <c r="B14" s="6" t="inlineStr">
        <is>
          <t>S11</t>
        </is>
      </c>
      <c r="C14" s="6" t="inlineStr">
        <is>
          <t>Violation</t>
        </is>
      </c>
      <c r="D14" s="6" t="inlineStr">
        <is>
          <t>Motorcycle filtering</t>
        </is>
      </c>
      <c r="E14" s="6" t="inlineStr">
        <is>
          <t>SC-B0</t>
        </is>
      </c>
      <c r="F14" s="6" t="inlineStr">
        <is>
          <t>DATA REQUIRED FROM MPAJ / SITE SURVEY</t>
        </is>
      </c>
      <c r="G14" s="6" t="inlineStr">
        <is>
          <t>Motorcycle filtering</t>
        </is>
      </c>
      <c r="H14" s="6" t="inlineStr">
        <is>
          <t>WAIT/HOLD until all relevant conflicting movements are proven stopped; extend for slow users</t>
        </is>
      </c>
      <c r="I14" s="6" t="inlineStr">
        <is>
          <t>Layout-specific approach/turning path; exact coordinates require simulation geometry</t>
        </is>
      </c>
      <c r="J14" s="6" t="inlineStr">
        <is>
          <t>Vehicle RED before WALK; WAIT on uncertainty/failure</t>
        </is>
      </c>
      <c r="K14" s="6" t="inlineStr">
        <is>
          <t>Sensor fusion with confidence threshold</t>
        </is>
      </c>
      <c r="L14" s="6" t="inlineStr">
        <is>
          <t>SC-B0 conflict zone - survey/simulation required</t>
        </is>
      </c>
      <c r="M14" s="6" t="inlineStr">
        <is>
          <t>Baseline sequence retained</t>
        </is>
      </c>
      <c r="N14" s="6" t="inlineStr">
        <is>
          <t>Pedestrian protected or held; event logged; human review for violation/emergency</t>
        </is>
      </c>
      <c r="O14" s="6" t="inlineStr">
        <is>
          <t>Assert no WALK with any conflicting movement permissive; verify seven stages and final zero speed</t>
        </is>
      </c>
    </row>
    <row r="15" ht="30" customHeight="1">
      <c r="A15" s="6" t="inlineStr">
        <is>
          <t>SC-B0-S12</t>
        </is>
      </c>
      <c r="B15" s="6" t="inlineStr">
        <is>
          <t>S12</t>
        </is>
      </c>
      <c r="C15" s="6" t="inlineStr">
        <is>
          <t>Violation</t>
        </is>
      </c>
      <c r="D15" s="6" t="inlineStr">
        <is>
          <t>Overtaking near crossing</t>
        </is>
      </c>
      <c r="E15" s="6" t="inlineStr">
        <is>
          <t>SC-B0</t>
        </is>
      </c>
      <c r="F15" s="6" t="inlineStr">
        <is>
          <t>DATA REQUIRED FROM MPAJ / SITE SURVEY</t>
        </is>
      </c>
      <c r="G15" s="6" t="inlineStr">
        <is>
          <t>Overtaking near crossing</t>
        </is>
      </c>
      <c r="H15" s="6" t="inlineStr">
        <is>
          <t>WAIT/HOLD until all relevant conflicting movements are proven stopped; extend for slow users</t>
        </is>
      </c>
      <c r="I15" s="6" t="inlineStr">
        <is>
          <t>Layout-specific approach/turning path; exact coordinates require simulation geometry</t>
        </is>
      </c>
      <c r="J15" s="6" t="inlineStr">
        <is>
          <t>Vehicle RED before WALK; WAIT on uncertainty/failure</t>
        </is>
      </c>
      <c r="K15" s="6" t="inlineStr">
        <is>
          <t>Sensor fusion with confidence threshold</t>
        </is>
      </c>
      <c r="L15" s="6" t="inlineStr">
        <is>
          <t>SC-B0 conflict zone - survey/simulation required</t>
        </is>
      </c>
      <c r="M15" s="6" t="inlineStr">
        <is>
          <t>Baseline sequence retained</t>
        </is>
      </c>
      <c r="N15" s="6" t="inlineStr">
        <is>
          <t>Pedestrian protected or held; event logged; human review for violation/emergency</t>
        </is>
      </c>
      <c r="O15" s="6" t="inlineStr">
        <is>
          <t>Assert no WALK with any conflicting movement permissive; verify seven stages and final zero speed</t>
        </is>
      </c>
    </row>
    <row r="16" ht="30" customHeight="1">
      <c r="A16" s="6" t="inlineStr">
        <is>
          <t>SC-B0-S13</t>
        </is>
      </c>
      <c r="B16" s="6" t="inlineStr">
        <is>
          <t>S13</t>
        </is>
      </c>
      <c r="C16" s="6" t="inlineStr">
        <is>
          <t>Pedestrian</t>
        </is>
      </c>
      <c r="D16" s="6" t="inlineStr">
        <is>
          <t>Pedestrian enters during WAIT</t>
        </is>
      </c>
      <c r="E16" s="6" t="inlineStr">
        <is>
          <t>SC-B0</t>
        </is>
      </c>
      <c r="F16" s="6" t="inlineStr">
        <is>
          <t>DATA REQUIRED FROM MPAJ / SITE SURVEY</t>
        </is>
      </c>
      <c r="G16" s="6" t="inlineStr">
        <is>
          <t>Pedestrian enters during WAIT</t>
        </is>
      </c>
      <c r="H16" s="6" t="inlineStr">
        <is>
          <t>WAIT/HOLD until all relevant conflicting movements are proven stopped; extend for slow users</t>
        </is>
      </c>
      <c r="I16" s="6" t="inlineStr">
        <is>
          <t>Layout-specific approach/turning path; exact coordinates require simulation geometry</t>
        </is>
      </c>
      <c r="J16" s="6" t="inlineStr">
        <is>
          <t>Vehicle RED before WALK; WAIT on uncertainty/failure</t>
        </is>
      </c>
      <c r="K16" s="6" t="inlineStr">
        <is>
          <t>Sensor fusion with confidence threshold</t>
        </is>
      </c>
      <c r="L16" s="6" t="inlineStr">
        <is>
          <t>SC-B0 conflict zone - survey/simulation required</t>
        </is>
      </c>
      <c r="M16" s="6" t="inlineStr">
        <is>
          <t>Baseline sequence retained</t>
        </is>
      </c>
      <c r="N16" s="6" t="inlineStr">
        <is>
          <t>Pedestrian protected or held; event logged; human review for violation/emergency</t>
        </is>
      </c>
      <c r="O16" s="6" t="inlineStr">
        <is>
          <t>Assert no WALK with any conflicting movement permissive; verify seven stages and final zero speed</t>
        </is>
      </c>
    </row>
    <row r="17" ht="30" customHeight="1">
      <c r="A17" s="6" t="inlineStr">
        <is>
          <t>SC-B0-S14</t>
        </is>
      </c>
      <c r="B17" s="6" t="inlineStr">
        <is>
          <t>S14</t>
        </is>
      </c>
      <c r="C17" s="6" t="inlineStr">
        <is>
          <t>Pedestrian</t>
        </is>
      </c>
      <c r="D17" s="6" t="inlineStr">
        <is>
          <t>Late pedestrian entry</t>
        </is>
      </c>
      <c r="E17" s="6" t="inlineStr">
        <is>
          <t>SC-B0</t>
        </is>
      </c>
      <c r="F17" s="6" t="inlineStr">
        <is>
          <t>DATA REQUIRED FROM MPAJ / SITE SURVEY</t>
        </is>
      </c>
      <c r="G17" s="6" t="inlineStr">
        <is>
          <t>Late pedestrian entry</t>
        </is>
      </c>
      <c r="H17" s="6" t="inlineStr">
        <is>
          <t>WAIT/HOLD until all relevant conflicting movements are proven stopped; extend for slow users</t>
        </is>
      </c>
      <c r="I17" s="6" t="inlineStr">
        <is>
          <t>Layout-specific approach/turning path; exact coordinates require simulation geometry</t>
        </is>
      </c>
      <c r="J17" s="6" t="inlineStr">
        <is>
          <t>Vehicle RED before WALK; WAIT on uncertainty/failure</t>
        </is>
      </c>
      <c r="K17" s="6" t="inlineStr">
        <is>
          <t>Sensor fusion with confidence threshold</t>
        </is>
      </c>
      <c r="L17" s="6" t="inlineStr">
        <is>
          <t>SC-B0 conflict zone - survey/simulation required</t>
        </is>
      </c>
      <c r="M17" s="6" t="inlineStr">
        <is>
          <t>Baseline sequence retained</t>
        </is>
      </c>
      <c r="N17" s="6" t="inlineStr">
        <is>
          <t>Pedestrian protected or held; event logged; human review for violation/emergency</t>
        </is>
      </c>
      <c r="O17" s="6" t="inlineStr">
        <is>
          <t>Assert no WALK with any conflicting movement permissive; verify seven stages and final zero speed</t>
        </is>
      </c>
    </row>
    <row r="18" ht="30" customHeight="1">
      <c r="A18" s="6" t="inlineStr">
        <is>
          <t>SC-B0-S15</t>
        </is>
      </c>
      <c r="B18" s="6" t="inlineStr">
        <is>
          <t>S15</t>
        </is>
      </c>
      <c r="C18" s="6" t="inlineStr">
        <is>
          <t>Pedestrian</t>
        </is>
      </c>
      <c r="D18" s="6" t="inlineStr">
        <is>
          <t>Slow or mobility-impaired pedestrian</t>
        </is>
      </c>
      <c r="E18" s="6" t="inlineStr">
        <is>
          <t>SC-B0</t>
        </is>
      </c>
      <c r="F18" s="6" t="inlineStr">
        <is>
          <t>DATA REQUIRED FROM MPAJ / SITE SURVEY</t>
        </is>
      </c>
      <c r="G18" s="6" t="inlineStr">
        <is>
          <t>Slow or mobility-impaired pedestrian</t>
        </is>
      </c>
      <c r="H18" s="6" t="inlineStr">
        <is>
          <t>WAIT/HOLD until all relevant conflicting movements are proven stopped; extend for slow users</t>
        </is>
      </c>
      <c r="I18" s="6" t="inlineStr">
        <is>
          <t>Layout-specific approach/turning path; exact coordinates require simulation geometry</t>
        </is>
      </c>
      <c r="J18" s="6" t="inlineStr">
        <is>
          <t>Vehicle RED before WALK; WAIT on uncertainty/failure</t>
        </is>
      </c>
      <c r="K18" s="6" t="inlineStr">
        <is>
          <t>Sensor fusion with confidence threshold</t>
        </is>
      </c>
      <c r="L18" s="6" t="inlineStr">
        <is>
          <t>SC-B0 conflict zone - survey/simulation required</t>
        </is>
      </c>
      <c r="M18" s="6" t="inlineStr">
        <is>
          <t>Baseline sequence retained</t>
        </is>
      </c>
      <c r="N18" s="6" t="inlineStr">
        <is>
          <t>Pedestrian protected or held; event logged; human review for violation/emergency</t>
        </is>
      </c>
      <c r="O18" s="6" t="inlineStr">
        <is>
          <t>Assert no WALK with any conflicting movement permissive; verify seven stages and final zero speed</t>
        </is>
      </c>
    </row>
    <row r="19" ht="30" customHeight="1">
      <c r="A19" s="6" t="inlineStr">
        <is>
          <t>SC-B0-S16</t>
        </is>
      </c>
      <c r="B19" s="6" t="inlineStr">
        <is>
          <t>S16</t>
        </is>
      </c>
      <c r="C19" s="6" t="inlineStr">
        <is>
          <t>School</t>
        </is>
      </c>
      <c r="D19" s="6" t="inlineStr">
        <is>
          <t>Child running into crossing</t>
        </is>
      </c>
      <c r="E19" s="6" t="inlineStr">
        <is>
          <t>SC-B0</t>
        </is>
      </c>
      <c r="F19" s="6" t="inlineStr">
        <is>
          <t>DATA REQUIRED FROM MPAJ / SITE SURVEY</t>
        </is>
      </c>
      <c r="G19" s="6" t="inlineStr">
        <is>
          <t>Child running into crossing</t>
        </is>
      </c>
      <c r="H19" s="6" t="inlineStr">
        <is>
          <t>WAIT/HOLD until all relevant conflicting movements are proven stopped; extend for slow users</t>
        </is>
      </c>
      <c r="I19" s="6" t="inlineStr">
        <is>
          <t>Layout-specific approach/turning path; exact coordinates require simulation geometry</t>
        </is>
      </c>
      <c r="J19" s="6" t="inlineStr">
        <is>
          <t>Vehicle RED before WALK; WAIT on uncertainty/failure</t>
        </is>
      </c>
      <c r="K19" s="6" t="inlineStr">
        <is>
          <t>Sensor fusion with confidence threshold</t>
        </is>
      </c>
      <c r="L19" s="6" t="inlineStr">
        <is>
          <t>SC-B0 conflict zone - survey/simulation required</t>
        </is>
      </c>
      <c r="M19" s="6" t="inlineStr">
        <is>
          <t>Baseline sequence retained</t>
        </is>
      </c>
      <c r="N19" s="6" t="inlineStr">
        <is>
          <t>Pedestrian protected or held; event logged; human review for violation/emergency</t>
        </is>
      </c>
      <c r="O19" s="6" t="inlineStr">
        <is>
          <t>Assert no WALK with any conflicting movement permissive; verify seven stages and final zero speed</t>
        </is>
      </c>
    </row>
    <row r="20" ht="30" customHeight="1">
      <c r="A20" s="6" t="inlineStr">
        <is>
          <t>SC-B0-S17</t>
        </is>
      </c>
      <c r="B20" s="6" t="inlineStr">
        <is>
          <t>S17</t>
        </is>
      </c>
      <c r="C20" s="6" t="inlineStr">
        <is>
          <t>School</t>
        </is>
      </c>
      <c r="D20" s="6" t="inlineStr">
        <is>
          <t>Group of schoolchildren</t>
        </is>
      </c>
      <c r="E20" s="6" t="inlineStr">
        <is>
          <t>SC-B0</t>
        </is>
      </c>
      <c r="F20" s="6" t="inlineStr">
        <is>
          <t>DATA REQUIRED FROM MPAJ / SITE SURVEY</t>
        </is>
      </c>
      <c r="G20" s="6" t="inlineStr">
        <is>
          <t>Group of schoolchildren</t>
        </is>
      </c>
      <c r="H20" s="6" t="inlineStr">
        <is>
          <t>WAIT/HOLD until all relevant conflicting movements are proven stopped; extend for slow users</t>
        </is>
      </c>
      <c r="I20" s="6" t="inlineStr">
        <is>
          <t>Layout-specific approach/turning path; exact coordinates require simulation geometry</t>
        </is>
      </c>
      <c r="J20" s="6" t="inlineStr">
        <is>
          <t>Vehicle RED before WALK; WAIT on uncertainty/failure</t>
        </is>
      </c>
      <c r="K20" s="6" t="inlineStr">
        <is>
          <t>Sensor fusion with confidence threshold</t>
        </is>
      </c>
      <c r="L20" s="6" t="inlineStr">
        <is>
          <t>SC-B0 conflict zone - survey/simulation required</t>
        </is>
      </c>
      <c r="M20" s="6" t="inlineStr">
        <is>
          <t>Baseline sequence retained</t>
        </is>
      </c>
      <c r="N20" s="6" t="inlineStr">
        <is>
          <t>Pedestrian protected or held; event logged; human review for violation/emergency</t>
        </is>
      </c>
      <c r="O20" s="6" t="inlineStr">
        <is>
          <t>Assert no WALK with any conflicting movement permissive; verify seven stages and final zero speed</t>
        </is>
      </c>
    </row>
    <row r="21" ht="30" customHeight="1">
      <c r="A21" s="6" t="inlineStr">
        <is>
          <t>SC-B0-S18</t>
        </is>
      </c>
      <c r="B21" s="6" t="inlineStr">
        <is>
          <t>S18</t>
        </is>
      </c>
      <c r="C21" s="6" t="inlineStr">
        <is>
          <t>Occlusion</t>
        </is>
      </c>
      <c r="D21" s="6" t="inlineStr">
        <is>
          <t>Bus/heavy vehicle blocks camera</t>
        </is>
      </c>
      <c r="E21" s="6" t="inlineStr">
        <is>
          <t>SC-B0</t>
        </is>
      </c>
      <c r="F21" s="6" t="inlineStr">
        <is>
          <t>DATA REQUIRED FROM MPAJ / SITE SURVEY</t>
        </is>
      </c>
      <c r="G21" s="6" t="inlineStr">
        <is>
          <t>Bus/heavy vehicle blocks camera</t>
        </is>
      </c>
      <c r="H21" s="6" t="inlineStr">
        <is>
          <t>WAIT/HOLD until all relevant conflicting movements are proven stopped; extend for slow users</t>
        </is>
      </c>
      <c r="I21" s="6" t="inlineStr">
        <is>
          <t>Layout-specific approach/turning path; exact coordinates require simulation geometry</t>
        </is>
      </c>
      <c r="J21" s="6" t="inlineStr">
        <is>
          <t>Vehicle RED before WALK; WAIT on uncertainty/failure</t>
        </is>
      </c>
      <c r="K21" s="6" t="inlineStr">
        <is>
          <t>Sensor fusion with confidence threshold</t>
        </is>
      </c>
      <c r="L21" s="6" t="inlineStr">
        <is>
          <t>SC-B0 conflict zone - survey/simulation required</t>
        </is>
      </c>
      <c r="M21" s="6" t="inlineStr">
        <is>
          <t>Baseline sequence retained</t>
        </is>
      </c>
      <c r="N21" s="6" t="inlineStr">
        <is>
          <t>Pedestrian protected or held; event logged; human review for violation/emergency</t>
        </is>
      </c>
      <c r="O21" s="6" t="inlineStr">
        <is>
          <t>Assert no WALK with any conflicting movement permissive; verify seven stages and final zero speed</t>
        </is>
      </c>
    </row>
    <row r="22" ht="30" customHeight="1">
      <c r="A22" s="6" t="inlineStr">
        <is>
          <t>SC-B0-S19</t>
        </is>
      </c>
      <c r="B22" s="6" t="inlineStr">
        <is>
          <t>S19</t>
        </is>
      </c>
      <c r="C22" s="6" t="inlineStr">
        <is>
          <t>Failure</t>
        </is>
      </c>
      <c r="D22" s="6" t="inlineStr">
        <is>
          <t>Sensor false positive</t>
        </is>
      </c>
      <c r="E22" s="6" t="inlineStr">
        <is>
          <t>SC-B0</t>
        </is>
      </c>
      <c r="F22" s="6" t="inlineStr">
        <is>
          <t>DATA REQUIRED FROM MPAJ / SITE SURVEY</t>
        </is>
      </c>
      <c r="G22" s="6" t="inlineStr">
        <is>
          <t>Sensor false positive</t>
        </is>
      </c>
      <c r="H22" s="6" t="inlineStr">
        <is>
          <t>WAIT/HOLD until all relevant conflicting movements are proven stopped; extend for slow users</t>
        </is>
      </c>
      <c r="I22" s="6" t="inlineStr">
        <is>
          <t>Layout-specific approach/turning path; exact coordinates require simulation geometry</t>
        </is>
      </c>
      <c r="J22" s="6" t="inlineStr">
        <is>
          <t>Vehicle RED before WALK; WAIT on uncertainty/failure</t>
        </is>
      </c>
      <c r="K22" s="6" t="inlineStr">
        <is>
          <t>Sensor fusion with confidence threshold</t>
        </is>
      </c>
      <c r="L22" s="6" t="inlineStr">
        <is>
          <t>SC-B0 conflict zone - survey/simulation required</t>
        </is>
      </c>
      <c r="M22" s="6" t="inlineStr">
        <is>
          <t>Baseline sequence retained</t>
        </is>
      </c>
      <c r="N22" s="6" t="inlineStr">
        <is>
          <t>Pedestrian protected or held; event logged; human review for violation/emergency</t>
        </is>
      </c>
      <c r="O22" s="6" t="inlineStr">
        <is>
          <t>Assert no WALK with any conflicting movement permissive; verify seven stages and final zero speed</t>
        </is>
      </c>
    </row>
    <row r="23" ht="30" customHeight="1">
      <c r="A23" s="6" t="inlineStr">
        <is>
          <t>SC-B0-S20</t>
        </is>
      </c>
      <c r="B23" s="6" t="inlineStr">
        <is>
          <t>S20</t>
        </is>
      </c>
      <c r="C23" s="6" t="inlineStr">
        <is>
          <t>Failure</t>
        </is>
      </c>
      <c r="D23" s="6" t="inlineStr">
        <is>
          <t>Sensor false negative</t>
        </is>
      </c>
      <c r="E23" s="6" t="inlineStr">
        <is>
          <t>SC-B0</t>
        </is>
      </c>
      <c r="F23" s="6" t="inlineStr">
        <is>
          <t>DATA REQUIRED FROM MPAJ / SITE SURVEY</t>
        </is>
      </c>
      <c r="G23" s="6" t="inlineStr">
        <is>
          <t>Sensor false negative</t>
        </is>
      </c>
      <c r="H23" s="6" t="inlineStr">
        <is>
          <t>WAIT/HOLD until all relevant conflicting movements are proven stopped; extend for slow users</t>
        </is>
      </c>
      <c r="I23" s="6" t="inlineStr">
        <is>
          <t>Layout-specific approach/turning path; exact coordinates require simulation geometry</t>
        </is>
      </c>
      <c r="J23" s="6" t="inlineStr">
        <is>
          <t>Vehicle RED before WALK; WAIT on uncertainty/failure</t>
        </is>
      </c>
      <c r="K23" s="6" t="inlineStr">
        <is>
          <t>Sensor fusion with confidence threshold</t>
        </is>
      </c>
      <c r="L23" s="6" t="inlineStr">
        <is>
          <t>SC-B0 conflict zone - survey/simulation required</t>
        </is>
      </c>
      <c r="M23" s="6" t="inlineStr">
        <is>
          <t>Baseline sequence retained</t>
        </is>
      </c>
      <c r="N23" s="6" t="inlineStr">
        <is>
          <t>Pedestrian protected or held; event logged; human review for violation/emergency</t>
        </is>
      </c>
      <c r="O23" s="6" t="inlineStr">
        <is>
          <t>Assert no WALK with any conflicting movement permissive; verify seven stages and final zero speed</t>
        </is>
      </c>
    </row>
    <row r="24" ht="30" customHeight="1">
      <c r="A24" s="6" t="inlineStr">
        <is>
          <t>SC-B0-S21</t>
        </is>
      </c>
      <c r="B24" s="6" t="inlineStr">
        <is>
          <t>S21</t>
        </is>
      </c>
      <c r="C24" s="6" t="inlineStr">
        <is>
          <t>Failure</t>
        </is>
      </c>
      <c r="D24" s="6" t="inlineStr">
        <is>
          <t>Signal-controller fault</t>
        </is>
      </c>
      <c r="E24" s="6" t="inlineStr">
        <is>
          <t>SC-B0</t>
        </is>
      </c>
      <c r="F24" s="6" t="inlineStr">
        <is>
          <t>DATA REQUIRED FROM MPAJ / SITE SURVEY</t>
        </is>
      </c>
      <c r="G24" s="6" t="inlineStr">
        <is>
          <t>Signal-controller fault</t>
        </is>
      </c>
      <c r="H24" s="6" t="inlineStr">
        <is>
          <t>WAIT/HOLD until all relevant conflicting movements are proven stopped; extend for slow users</t>
        </is>
      </c>
      <c r="I24" s="6" t="inlineStr">
        <is>
          <t>Layout-specific approach/turning path; exact coordinates require simulation geometry</t>
        </is>
      </c>
      <c r="J24" s="6" t="inlineStr">
        <is>
          <t>Vehicle RED before WALK; WAIT on uncertainty/failure</t>
        </is>
      </c>
      <c r="K24" s="6" t="inlineStr">
        <is>
          <t>Sensor fusion with confidence threshold</t>
        </is>
      </c>
      <c r="L24" s="6" t="inlineStr">
        <is>
          <t>SC-B0 conflict zone - survey/simulation required</t>
        </is>
      </c>
      <c r="M24" s="6" t="inlineStr">
        <is>
          <t>Baseline sequence retained</t>
        </is>
      </c>
      <c r="N24" s="6" t="inlineStr">
        <is>
          <t>Pedestrian protected or held; event logged; human review for violation/emergency</t>
        </is>
      </c>
      <c r="O24" s="6" t="inlineStr">
        <is>
          <t>Assert no WALK with any conflicting movement permissive; verify seven stages and final zero speed</t>
        </is>
      </c>
    </row>
    <row r="25" ht="30" customHeight="1">
      <c r="A25" s="6" t="inlineStr">
        <is>
          <t>SC-B0-S22</t>
        </is>
      </c>
      <c r="B25" s="6" t="inlineStr">
        <is>
          <t>S22</t>
        </is>
      </c>
      <c r="C25" s="6" t="inlineStr">
        <is>
          <t>Failure</t>
        </is>
      </c>
      <c r="D25" s="6" t="inlineStr">
        <is>
          <t>Power or communications failure</t>
        </is>
      </c>
      <c r="E25" s="6" t="inlineStr">
        <is>
          <t>SC-B0</t>
        </is>
      </c>
      <c r="F25" s="6" t="inlineStr">
        <is>
          <t>DATA REQUIRED FROM MPAJ / SITE SURVEY</t>
        </is>
      </c>
      <c r="G25" s="6" t="inlineStr">
        <is>
          <t>Power or communications failure</t>
        </is>
      </c>
      <c r="H25" s="6" t="inlineStr">
        <is>
          <t>WAIT/HOLD until all relevant conflicting movements are proven stopped; extend for slow users</t>
        </is>
      </c>
      <c r="I25" s="6" t="inlineStr">
        <is>
          <t>Layout-specific approach/turning path; exact coordinates require simulation geometry</t>
        </is>
      </c>
      <c r="J25" s="6" t="inlineStr">
        <is>
          <t>Vehicle RED before WALK; WAIT on uncertainty/failure</t>
        </is>
      </c>
      <c r="K25" s="6" t="inlineStr">
        <is>
          <t>Sensor fusion with confidence threshold</t>
        </is>
      </c>
      <c r="L25" s="6" t="inlineStr">
        <is>
          <t>SC-B0 conflict zone - survey/simulation required</t>
        </is>
      </c>
      <c r="M25" s="6" t="inlineStr">
        <is>
          <t>Baseline sequence retained</t>
        </is>
      </c>
      <c r="N25" s="6" t="inlineStr">
        <is>
          <t>Pedestrian protected or held; event logged; human review for violation/emergency</t>
        </is>
      </c>
      <c r="O25" s="6" t="inlineStr">
        <is>
          <t>Assert no WALK with any conflicting movement permissive; verify seven stages and final zero speed</t>
        </is>
      </c>
    </row>
    <row r="26" ht="30" customHeight="1">
      <c r="A26" s="6" t="inlineStr">
        <is>
          <t>SC-B0-S23</t>
        </is>
      </c>
      <c r="B26" s="6" t="inlineStr">
        <is>
          <t>S23</t>
        </is>
      </c>
      <c r="C26" s="6" t="inlineStr">
        <is>
          <t>Emergency</t>
        </is>
      </c>
      <c r="D26" s="6" t="inlineStr">
        <is>
          <t>Collision or life-threatening incident</t>
        </is>
      </c>
      <c r="E26" s="6" t="inlineStr">
        <is>
          <t>SC-B0</t>
        </is>
      </c>
      <c r="F26" s="6" t="inlineStr">
        <is>
          <t>DATA REQUIRED FROM MPAJ / SITE SURVEY</t>
        </is>
      </c>
      <c r="G26" s="6" t="inlineStr">
        <is>
          <t>Collision or life-threatening incident</t>
        </is>
      </c>
      <c r="H26" s="6" t="inlineStr">
        <is>
          <t>WAIT/HOLD until all relevant conflicting movements are proven stopped; extend for slow users</t>
        </is>
      </c>
      <c r="I26" s="6" t="inlineStr">
        <is>
          <t>Layout-specific approach/turning path; exact coordinates require simulation geometry</t>
        </is>
      </c>
      <c r="J26" s="6" t="inlineStr">
        <is>
          <t>Vehicle RED before WALK; WAIT on uncertainty/failure</t>
        </is>
      </c>
      <c r="K26" s="6" t="inlineStr">
        <is>
          <t>Sensor fusion with confidence threshold</t>
        </is>
      </c>
      <c r="L26" s="6" t="inlineStr">
        <is>
          <t>SC-B0 conflict zone - survey/simulation required</t>
        </is>
      </c>
      <c r="M26" s="6" t="inlineStr">
        <is>
          <t>Baseline sequence retained</t>
        </is>
      </c>
      <c r="N26" s="6" t="inlineStr">
        <is>
          <t>Pedestrian protected or held; event logged; human review for violation/emergency</t>
        </is>
      </c>
      <c r="O26" s="6" t="inlineStr">
        <is>
          <t>Assert no WALK with any conflicting movement permissive; verify seven stages and final zero speed</t>
        </is>
      </c>
    </row>
    <row r="27" ht="30" customHeight="1">
      <c r="A27" s="6" t="inlineStr">
        <is>
          <t>SC-B0-S24</t>
        </is>
      </c>
      <c r="B27" s="6" t="inlineStr">
        <is>
          <t>S24</t>
        </is>
      </c>
      <c r="C27" s="6" t="inlineStr">
        <is>
          <t>Emergency</t>
        </is>
      </c>
      <c r="D27" s="6" t="inlineStr">
        <is>
          <t>Emergency-vehicle approach</t>
        </is>
      </c>
      <c r="E27" s="6" t="inlineStr">
        <is>
          <t>SC-B0</t>
        </is>
      </c>
      <c r="F27" s="6" t="inlineStr">
        <is>
          <t>DATA REQUIRED FROM MPAJ / SITE SURVEY</t>
        </is>
      </c>
      <c r="G27" s="6" t="inlineStr">
        <is>
          <t>Emergency-vehicle approach</t>
        </is>
      </c>
      <c r="H27" s="6" t="inlineStr">
        <is>
          <t>WAIT/HOLD until all relevant conflicting movements are proven stopped; extend for slow users</t>
        </is>
      </c>
      <c r="I27" s="6" t="inlineStr">
        <is>
          <t>Layout-specific approach/turning path; exact coordinates require simulation geometry</t>
        </is>
      </c>
      <c r="J27" s="6" t="inlineStr">
        <is>
          <t>Vehicle RED before WALK; WAIT on uncertainty/failure</t>
        </is>
      </c>
      <c r="K27" s="6" t="inlineStr">
        <is>
          <t>Sensor fusion with confidence threshold</t>
        </is>
      </c>
      <c r="L27" s="6" t="inlineStr">
        <is>
          <t>SC-B0 conflict zone - survey/simulation required</t>
        </is>
      </c>
      <c r="M27" s="6" t="inlineStr">
        <is>
          <t>Baseline sequence retained</t>
        </is>
      </c>
      <c r="N27" s="6" t="inlineStr">
        <is>
          <t>Pedestrian protected or held; event logged; human review for violation/emergency</t>
        </is>
      </c>
      <c r="O27" s="6" t="inlineStr">
        <is>
          <t>Assert no WALK with any conflicting movement permissive; verify seven stages and final zero speed</t>
        </is>
      </c>
    </row>
    <row r="28" ht="30" customHeight="1">
      <c r="A28" s="6" t="inlineStr">
        <is>
          <t>SC-T1-S01</t>
        </is>
      </c>
      <c r="B28" s="6" t="inlineStr">
        <is>
          <t>S01</t>
        </is>
      </c>
      <c r="C28" s="6" t="inlineStr">
        <is>
          <t>Normal</t>
        </is>
      </c>
      <c r="D28" s="6" t="inlineStr">
        <is>
          <t>Protected pedestrian request</t>
        </is>
      </c>
      <c r="E28" s="6" t="inlineStr">
        <is>
          <t>SC-T1</t>
        </is>
      </c>
      <c r="F28" s="6" t="inlineStr">
        <is>
          <t>DATA REQUIRED FROM MPAJ / SITE SURVEY</t>
        </is>
      </c>
      <c r="G28" s="6" t="inlineStr">
        <is>
          <t>Protected pedestrian request</t>
        </is>
      </c>
      <c r="H28" s="6" t="inlineStr">
        <is>
          <t>WAIT/HOLD until all relevant conflicting movements are proven stopped; extend for slow users</t>
        </is>
      </c>
      <c r="I28" s="6" t="inlineStr">
        <is>
          <t>Layout-specific approach/turning path; exact coordinates require simulation geometry</t>
        </is>
      </c>
      <c r="J28" s="6" t="inlineStr">
        <is>
          <t>Vehicle RED before WALK; WAIT on uncertainty/failure</t>
        </is>
      </c>
      <c r="K28" s="6" t="inlineStr">
        <is>
          <t>Sensor fusion with confidence threshold</t>
        </is>
      </c>
      <c r="L28" s="6" t="inlineStr">
        <is>
          <t>SC-T1 conflict zone - survey/simulation required</t>
        </is>
      </c>
      <c r="M28" s="6" t="inlineStr">
        <is>
          <t>Adapt detection and conflict mapping to SC-T1 legs; no change to STOP-before-WALK</t>
        </is>
      </c>
      <c r="N28" s="6" t="inlineStr">
        <is>
          <t>Pedestrian protected or held; event logged; human review for violation/emergency</t>
        </is>
      </c>
      <c r="O28" s="6" t="inlineStr">
        <is>
          <t>Assert no WALK with any conflicting movement permissive; verify seven stages and final zero speed</t>
        </is>
      </c>
    </row>
    <row r="29" ht="30" customHeight="1">
      <c r="A29" s="6" t="inlineStr">
        <is>
          <t>SC-T1-S02</t>
        </is>
      </c>
      <c r="B29" s="6" t="inlineStr">
        <is>
          <t>S02</t>
        </is>
      </c>
      <c r="C29" s="6" t="inlineStr">
        <is>
          <t>Violation</t>
        </is>
      </c>
      <c r="D29" s="6" t="inlineStr">
        <is>
          <t>Left-turn conflict</t>
        </is>
      </c>
      <c r="E29" s="6" t="inlineStr">
        <is>
          <t>SC-T1</t>
        </is>
      </c>
      <c r="F29" s="6" t="inlineStr">
        <is>
          <t>DATA REQUIRED FROM MPAJ / SITE SURVEY</t>
        </is>
      </c>
      <c r="G29" s="6" t="inlineStr">
        <is>
          <t>Left-turn conflict</t>
        </is>
      </c>
      <c r="H29" s="6" t="inlineStr">
        <is>
          <t>WAIT/HOLD until all relevant conflicting movements are proven stopped; extend for slow users</t>
        </is>
      </c>
      <c r="I29" s="6" t="inlineStr">
        <is>
          <t>Layout-specific approach/turning path; exact coordinates require simulation geometry</t>
        </is>
      </c>
      <c r="J29" s="6" t="inlineStr">
        <is>
          <t>Vehicle RED before WALK; WAIT on uncertainty/failure</t>
        </is>
      </c>
      <c r="K29" s="6" t="inlineStr">
        <is>
          <t>Sensor fusion with confidence threshold</t>
        </is>
      </c>
      <c r="L29" s="6" t="inlineStr">
        <is>
          <t>SC-T1 conflict zone - survey/simulation required</t>
        </is>
      </c>
      <c r="M29" s="6" t="inlineStr">
        <is>
          <t>Adapt detection and conflict mapping to SC-T1 legs; no change to STOP-before-WALK</t>
        </is>
      </c>
      <c r="N29" s="6" t="inlineStr">
        <is>
          <t>Pedestrian protected or held; event logged; human review for violation/emergency</t>
        </is>
      </c>
      <c r="O29" s="6" t="inlineStr">
        <is>
          <t>Assert no WALK with any conflicting movement permissive; verify seven stages and final zero speed</t>
        </is>
      </c>
    </row>
    <row r="30" ht="30" customHeight="1">
      <c r="A30" s="6" t="inlineStr">
        <is>
          <t>SC-T1-S03</t>
        </is>
      </c>
      <c r="B30" s="6" t="inlineStr">
        <is>
          <t>S03</t>
        </is>
      </c>
      <c r="C30" s="6" t="inlineStr">
        <is>
          <t>Violation</t>
        </is>
      </c>
      <c r="D30" s="6" t="inlineStr">
        <is>
          <t>Right-turn conflict</t>
        </is>
      </c>
      <c r="E30" s="6" t="inlineStr">
        <is>
          <t>SC-T1</t>
        </is>
      </c>
      <c r="F30" s="6" t="inlineStr">
        <is>
          <t>DATA REQUIRED FROM MPAJ / SITE SURVEY</t>
        </is>
      </c>
      <c r="G30" s="6" t="inlineStr">
        <is>
          <t>Right-turn conflict</t>
        </is>
      </c>
      <c r="H30" s="6" t="inlineStr">
        <is>
          <t>WAIT/HOLD until all relevant conflicting movements are proven stopped; extend for slow users</t>
        </is>
      </c>
      <c r="I30" s="6" t="inlineStr">
        <is>
          <t>Layout-specific approach/turning path; exact coordinates require simulation geometry</t>
        </is>
      </c>
      <c r="J30" s="6" t="inlineStr">
        <is>
          <t>Vehicle RED before WALK; WAIT on uncertainty/failure</t>
        </is>
      </c>
      <c r="K30" s="6" t="inlineStr">
        <is>
          <t>Sensor fusion with confidence threshold</t>
        </is>
      </c>
      <c r="L30" s="6" t="inlineStr">
        <is>
          <t>SC-T1 conflict zone - survey/simulation required</t>
        </is>
      </c>
      <c r="M30" s="6" t="inlineStr">
        <is>
          <t>Adapt detection and conflict mapping to SC-T1 legs; no change to STOP-before-WALK</t>
        </is>
      </c>
      <c r="N30" s="6" t="inlineStr">
        <is>
          <t>Pedestrian protected or held; event logged; human review for violation/emergency</t>
        </is>
      </c>
      <c r="O30" s="6" t="inlineStr">
        <is>
          <t>Assert no WALK with any conflicting movement permissive; verify seven stages and final zero speed</t>
        </is>
      </c>
    </row>
    <row r="31" ht="30" customHeight="1">
      <c r="A31" s="6" t="inlineStr">
        <is>
          <t>SC-T1-S04</t>
        </is>
      </c>
      <c r="B31" s="6" t="inlineStr">
        <is>
          <t>S04</t>
        </is>
      </c>
      <c r="C31" s="6" t="inlineStr">
        <is>
          <t>Violation</t>
        </is>
      </c>
      <c r="D31" s="6" t="inlineStr">
        <is>
          <t>Through-vehicle conflict</t>
        </is>
      </c>
      <c r="E31" s="6" t="inlineStr">
        <is>
          <t>SC-T1</t>
        </is>
      </c>
      <c r="F31" s="6" t="inlineStr">
        <is>
          <t>DATA REQUIRED FROM MPAJ / SITE SURVEY</t>
        </is>
      </c>
      <c r="G31" s="6" t="inlineStr">
        <is>
          <t>Through-vehicle conflict</t>
        </is>
      </c>
      <c r="H31" s="6" t="inlineStr">
        <is>
          <t>WAIT/HOLD until all relevant conflicting movements are proven stopped; extend for slow users</t>
        </is>
      </c>
      <c r="I31" s="6" t="inlineStr">
        <is>
          <t>Layout-specific approach/turning path; exact coordinates require simulation geometry</t>
        </is>
      </c>
      <c r="J31" s="6" t="inlineStr">
        <is>
          <t>Vehicle RED before WALK; WAIT on uncertainty/failure</t>
        </is>
      </c>
      <c r="K31" s="6" t="inlineStr">
        <is>
          <t>Sensor fusion with confidence threshold</t>
        </is>
      </c>
      <c r="L31" s="6" t="inlineStr">
        <is>
          <t>SC-T1 conflict zone - survey/simulation required</t>
        </is>
      </c>
      <c r="M31" s="6" t="inlineStr">
        <is>
          <t>Adapt detection and conflict mapping to SC-T1 legs; no change to STOP-before-WALK</t>
        </is>
      </c>
      <c r="N31" s="6" t="inlineStr">
        <is>
          <t>Pedestrian protected or held; event logged; human review for violation/emergency</t>
        </is>
      </c>
      <c r="O31" s="6" t="inlineStr">
        <is>
          <t>Assert no WALK with any conflicting movement permissive; verify seven stages and final zero speed</t>
        </is>
      </c>
    </row>
    <row r="32" ht="30" customHeight="1">
      <c r="A32" s="6" t="inlineStr">
        <is>
          <t>SC-T1-S05</t>
        </is>
      </c>
      <c r="B32" s="6" t="inlineStr">
        <is>
          <t>S05</t>
        </is>
      </c>
      <c r="C32" s="6" t="inlineStr">
        <is>
          <t>Violation</t>
        </is>
      </c>
      <c r="D32" s="6" t="inlineStr">
        <is>
          <t>Red-light violation</t>
        </is>
      </c>
      <c r="E32" s="6" t="inlineStr">
        <is>
          <t>SC-T1</t>
        </is>
      </c>
      <c r="F32" s="6" t="inlineStr">
        <is>
          <t>DATA REQUIRED FROM MPAJ / SITE SURVEY</t>
        </is>
      </c>
      <c r="G32" s="6" t="inlineStr">
        <is>
          <t>Red-light violation</t>
        </is>
      </c>
      <c r="H32" s="6" t="inlineStr">
        <is>
          <t>WAIT/HOLD until all relevant conflicting movements are proven stopped; extend for slow users</t>
        </is>
      </c>
      <c r="I32" s="6" t="inlineStr">
        <is>
          <t>Layout-specific approach/turning path; exact coordinates require simulation geometry</t>
        </is>
      </c>
      <c r="J32" s="6" t="inlineStr">
        <is>
          <t>Vehicle RED before WALK; WAIT on uncertainty/failure</t>
        </is>
      </c>
      <c r="K32" s="6" t="inlineStr">
        <is>
          <t>Sensor fusion with confidence threshold</t>
        </is>
      </c>
      <c r="L32" s="6" t="inlineStr">
        <is>
          <t>SC-T1 conflict zone - survey/simulation required</t>
        </is>
      </c>
      <c r="M32" s="6" t="inlineStr">
        <is>
          <t>Adapt detection and conflict mapping to SC-T1 legs; no change to STOP-before-WALK</t>
        </is>
      </c>
      <c r="N32" s="6" t="inlineStr">
        <is>
          <t>Pedestrian protected or held; event logged; human review for violation/emergency</t>
        </is>
      </c>
      <c r="O32" s="6" t="inlineStr">
        <is>
          <t>Assert no WALK with any conflicting movement permissive; verify seven stages and final zero speed</t>
        </is>
      </c>
    </row>
    <row r="33" ht="30" customHeight="1">
      <c r="A33" s="6" t="inlineStr">
        <is>
          <t>SC-T1-S06</t>
        </is>
      </c>
      <c r="B33" s="6" t="inlineStr">
        <is>
          <t>S06</t>
        </is>
      </c>
      <c r="C33" s="6" t="inlineStr">
        <is>
          <t>Violation</t>
        </is>
      </c>
      <c r="D33" s="6" t="inlineStr">
        <is>
          <t>Speeding approach</t>
        </is>
      </c>
      <c r="E33" s="6" t="inlineStr">
        <is>
          <t>SC-T1</t>
        </is>
      </c>
      <c r="F33" s="6" t="inlineStr">
        <is>
          <t>DATA REQUIRED FROM MPAJ / SITE SURVEY</t>
        </is>
      </c>
      <c r="G33" s="6" t="inlineStr">
        <is>
          <t>Speeding approach</t>
        </is>
      </c>
      <c r="H33" s="6" t="inlineStr">
        <is>
          <t>WAIT/HOLD until all relevant conflicting movements are proven stopped; extend for slow users</t>
        </is>
      </c>
      <c r="I33" s="6" t="inlineStr">
        <is>
          <t>Layout-specific approach/turning path; exact coordinates require simulation geometry</t>
        </is>
      </c>
      <c r="J33" s="6" t="inlineStr">
        <is>
          <t>Vehicle RED before WALK; WAIT on uncertainty/failure</t>
        </is>
      </c>
      <c r="K33" s="6" t="inlineStr">
        <is>
          <t>Sensor fusion with confidence threshold</t>
        </is>
      </c>
      <c r="L33" s="6" t="inlineStr">
        <is>
          <t>SC-T1 conflict zone - survey/simulation required</t>
        </is>
      </c>
      <c r="M33" s="6" t="inlineStr">
        <is>
          <t>Adapt detection and conflict mapping to SC-T1 legs; no change to STOP-before-WALK</t>
        </is>
      </c>
      <c r="N33" s="6" t="inlineStr">
        <is>
          <t>Pedestrian protected or held; event logged; human review for violation/emergency</t>
        </is>
      </c>
      <c r="O33" s="6" t="inlineStr">
        <is>
          <t>Assert no WALK with any conflicting movement permissive; verify seven stages and final zero speed</t>
        </is>
      </c>
    </row>
    <row r="34" ht="30" customHeight="1">
      <c r="A34" s="6" t="inlineStr">
        <is>
          <t>SC-T1-S07</t>
        </is>
      </c>
      <c r="B34" s="6" t="inlineStr">
        <is>
          <t>S07</t>
        </is>
      </c>
      <c r="C34" s="6" t="inlineStr">
        <is>
          <t>Violation</t>
        </is>
      </c>
      <c r="D34" s="6" t="inlineStr">
        <is>
          <t>Failure to yield</t>
        </is>
      </c>
      <c r="E34" s="6" t="inlineStr">
        <is>
          <t>SC-T1</t>
        </is>
      </c>
      <c r="F34" s="6" t="inlineStr">
        <is>
          <t>DATA REQUIRED FROM MPAJ / SITE SURVEY</t>
        </is>
      </c>
      <c r="G34" s="6" t="inlineStr">
        <is>
          <t>Failure to yield</t>
        </is>
      </c>
      <c r="H34" s="6" t="inlineStr">
        <is>
          <t>WAIT/HOLD until all relevant conflicting movements are proven stopped; extend for slow users</t>
        </is>
      </c>
      <c r="I34" s="6" t="inlineStr">
        <is>
          <t>Layout-specific approach/turning path; exact coordinates require simulation geometry</t>
        </is>
      </c>
      <c r="J34" s="6" t="inlineStr">
        <is>
          <t>Vehicle RED before WALK; WAIT on uncertainty/failure</t>
        </is>
      </c>
      <c r="K34" s="6" t="inlineStr">
        <is>
          <t>Sensor fusion with confidence threshold</t>
        </is>
      </c>
      <c r="L34" s="6" t="inlineStr">
        <is>
          <t>SC-T1 conflict zone - survey/simulation required</t>
        </is>
      </c>
      <c r="M34" s="6" t="inlineStr">
        <is>
          <t>Adapt detection and conflict mapping to SC-T1 legs; no change to STOP-before-WALK</t>
        </is>
      </c>
      <c r="N34" s="6" t="inlineStr">
        <is>
          <t>Pedestrian protected or held; event logged; human review for violation/emergency</t>
        </is>
      </c>
      <c r="O34" s="6" t="inlineStr">
        <is>
          <t>Assert no WALK with any conflicting movement permissive; verify seven stages and final zero speed</t>
        </is>
      </c>
    </row>
    <row r="35" ht="30" customHeight="1">
      <c r="A35" s="6" t="inlineStr">
        <is>
          <t>SC-T1-S08</t>
        </is>
      </c>
      <c r="B35" s="6" t="inlineStr">
        <is>
          <t>S08</t>
        </is>
      </c>
      <c r="C35" s="6" t="inlineStr">
        <is>
          <t>Violation</t>
        </is>
      </c>
      <c r="D35" s="6" t="inlineStr">
        <is>
          <t>Vehicle stopping over crossing</t>
        </is>
      </c>
      <c r="E35" s="6" t="inlineStr">
        <is>
          <t>SC-T1</t>
        </is>
      </c>
      <c r="F35" s="6" t="inlineStr">
        <is>
          <t>DATA REQUIRED FROM MPAJ / SITE SURVEY</t>
        </is>
      </c>
      <c r="G35" s="6" t="inlineStr">
        <is>
          <t>Vehicle stopping over crossing</t>
        </is>
      </c>
      <c r="H35" s="6" t="inlineStr">
        <is>
          <t>WAIT/HOLD until all relevant conflicting movements are proven stopped; extend for slow users</t>
        </is>
      </c>
      <c r="I35" s="6" t="inlineStr">
        <is>
          <t>Layout-specific approach/turning path; exact coordinates require simulation geometry</t>
        </is>
      </c>
      <c r="J35" s="6" t="inlineStr">
        <is>
          <t>Vehicle RED before WALK; WAIT on uncertainty/failure</t>
        </is>
      </c>
      <c r="K35" s="6" t="inlineStr">
        <is>
          <t>Sensor fusion with confidence threshold</t>
        </is>
      </c>
      <c r="L35" s="6" t="inlineStr">
        <is>
          <t>SC-T1 conflict zone - survey/simulation required</t>
        </is>
      </c>
      <c r="M35" s="6" t="inlineStr">
        <is>
          <t>Adapt detection and conflict mapping to SC-T1 legs; no change to STOP-before-WALK</t>
        </is>
      </c>
      <c r="N35" s="6" t="inlineStr">
        <is>
          <t>Pedestrian protected or held; event logged; human review for violation/emergency</t>
        </is>
      </c>
      <c r="O35" s="6" t="inlineStr">
        <is>
          <t>Assert no WALK with any conflicting movement permissive; verify seven stages and final zero speed</t>
        </is>
      </c>
    </row>
    <row r="36" ht="30" customHeight="1">
      <c r="A36" s="6" t="inlineStr">
        <is>
          <t>SC-T1-S09</t>
        </is>
      </c>
      <c r="B36" s="6" t="inlineStr">
        <is>
          <t>S09</t>
        </is>
      </c>
      <c r="C36" s="6" t="inlineStr">
        <is>
          <t>Violation</t>
        </is>
      </c>
      <c r="D36" s="6" t="inlineStr">
        <is>
          <t>Queue spillback</t>
        </is>
      </c>
      <c r="E36" s="6" t="inlineStr">
        <is>
          <t>SC-T1</t>
        </is>
      </c>
      <c r="F36" s="6" t="inlineStr">
        <is>
          <t>DATA REQUIRED FROM MPAJ / SITE SURVEY</t>
        </is>
      </c>
      <c r="G36" s="6" t="inlineStr">
        <is>
          <t>Queue spillback</t>
        </is>
      </c>
      <c r="H36" s="6" t="inlineStr">
        <is>
          <t>WAIT/HOLD until all relevant conflicting movements are proven stopped; extend for slow users</t>
        </is>
      </c>
      <c r="I36" s="6" t="inlineStr">
        <is>
          <t>Layout-specific approach/turning path; exact coordinates require simulation geometry</t>
        </is>
      </c>
      <c r="J36" s="6" t="inlineStr">
        <is>
          <t>Vehicle RED before WALK; WAIT on uncertainty/failure</t>
        </is>
      </c>
      <c r="K36" s="6" t="inlineStr">
        <is>
          <t>Sensor fusion with confidence threshold</t>
        </is>
      </c>
      <c r="L36" s="6" t="inlineStr">
        <is>
          <t>SC-T1 conflict zone - survey/simulation required</t>
        </is>
      </c>
      <c r="M36" s="6" t="inlineStr">
        <is>
          <t>Adapt detection and conflict mapping to SC-T1 legs; no change to STOP-before-WALK</t>
        </is>
      </c>
      <c r="N36" s="6" t="inlineStr">
        <is>
          <t>Pedestrian protected or held; event logged; human review for violation/emergency</t>
        </is>
      </c>
      <c r="O36" s="6" t="inlineStr">
        <is>
          <t>Assert no WALK with any conflicting movement permissive; verify seven stages and final zero speed</t>
        </is>
      </c>
    </row>
    <row r="37" ht="30" customHeight="1">
      <c r="A37" s="6" t="inlineStr">
        <is>
          <t>SC-T1-S10</t>
        </is>
      </c>
      <c r="B37" s="6" t="inlineStr">
        <is>
          <t>S10</t>
        </is>
      </c>
      <c r="C37" s="6" t="inlineStr">
        <is>
          <t>Violation</t>
        </is>
      </c>
      <c r="D37" s="6" t="inlineStr">
        <is>
          <t>Illegal U-turn</t>
        </is>
      </c>
      <c r="E37" s="6" t="inlineStr">
        <is>
          <t>SC-T1</t>
        </is>
      </c>
      <c r="F37" s="6" t="inlineStr">
        <is>
          <t>DATA REQUIRED FROM MPAJ / SITE SURVEY</t>
        </is>
      </c>
      <c r="G37" s="6" t="inlineStr">
        <is>
          <t>Illegal U-turn</t>
        </is>
      </c>
      <c r="H37" s="6" t="inlineStr">
        <is>
          <t>WAIT/HOLD until all relevant conflicting movements are proven stopped; extend for slow users</t>
        </is>
      </c>
      <c r="I37" s="6" t="inlineStr">
        <is>
          <t>Layout-specific approach/turning path; exact coordinates require simulation geometry</t>
        </is>
      </c>
      <c r="J37" s="6" t="inlineStr">
        <is>
          <t>Vehicle RED before WALK; WAIT on uncertainty/failure</t>
        </is>
      </c>
      <c r="K37" s="6" t="inlineStr">
        <is>
          <t>Sensor fusion with confidence threshold</t>
        </is>
      </c>
      <c r="L37" s="6" t="inlineStr">
        <is>
          <t>SC-T1 conflict zone - survey/simulation required</t>
        </is>
      </c>
      <c r="M37" s="6" t="inlineStr">
        <is>
          <t>Adapt detection and conflict mapping to SC-T1 legs; no change to STOP-before-WALK</t>
        </is>
      </c>
      <c r="N37" s="6" t="inlineStr">
        <is>
          <t>Pedestrian protected or held; event logged; human review for violation/emergency</t>
        </is>
      </c>
      <c r="O37" s="6" t="inlineStr">
        <is>
          <t>Assert no WALK with any conflicting movement permissive; verify seven stages and final zero speed</t>
        </is>
      </c>
    </row>
    <row r="38" ht="30" customHeight="1">
      <c r="A38" s="6" t="inlineStr">
        <is>
          <t>SC-T1-S11</t>
        </is>
      </c>
      <c r="B38" s="6" t="inlineStr">
        <is>
          <t>S11</t>
        </is>
      </c>
      <c r="C38" s="6" t="inlineStr">
        <is>
          <t>Violation</t>
        </is>
      </c>
      <c r="D38" s="6" t="inlineStr">
        <is>
          <t>Motorcycle filtering</t>
        </is>
      </c>
      <c r="E38" s="6" t="inlineStr">
        <is>
          <t>SC-T1</t>
        </is>
      </c>
      <c r="F38" s="6" t="inlineStr">
        <is>
          <t>DATA REQUIRED FROM MPAJ / SITE SURVEY</t>
        </is>
      </c>
      <c r="G38" s="6" t="inlineStr">
        <is>
          <t>Motorcycle filtering</t>
        </is>
      </c>
      <c r="H38" s="6" t="inlineStr">
        <is>
          <t>WAIT/HOLD until all relevant conflicting movements are proven stopped; extend for slow users</t>
        </is>
      </c>
      <c r="I38" s="6" t="inlineStr">
        <is>
          <t>Layout-specific approach/turning path; exact coordinates require simulation geometry</t>
        </is>
      </c>
      <c r="J38" s="6" t="inlineStr">
        <is>
          <t>Vehicle RED before WALK; WAIT on uncertainty/failure</t>
        </is>
      </c>
      <c r="K38" s="6" t="inlineStr">
        <is>
          <t>Sensor fusion with confidence threshold</t>
        </is>
      </c>
      <c r="L38" s="6" t="inlineStr">
        <is>
          <t>SC-T1 conflict zone - survey/simulation required</t>
        </is>
      </c>
      <c r="M38" s="6" t="inlineStr">
        <is>
          <t>Adapt detection and conflict mapping to SC-T1 legs; no change to STOP-before-WALK</t>
        </is>
      </c>
      <c r="N38" s="6" t="inlineStr">
        <is>
          <t>Pedestrian protected or held; event logged; human review for violation/emergency</t>
        </is>
      </c>
      <c r="O38" s="6" t="inlineStr">
        <is>
          <t>Assert no WALK with any conflicting movement permissive; verify seven stages and final zero speed</t>
        </is>
      </c>
    </row>
    <row r="39" ht="30" customHeight="1">
      <c r="A39" s="6" t="inlineStr">
        <is>
          <t>SC-T1-S12</t>
        </is>
      </c>
      <c r="B39" s="6" t="inlineStr">
        <is>
          <t>S12</t>
        </is>
      </c>
      <c r="C39" s="6" t="inlineStr">
        <is>
          <t>Violation</t>
        </is>
      </c>
      <c r="D39" s="6" t="inlineStr">
        <is>
          <t>Overtaking near crossing</t>
        </is>
      </c>
      <c r="E39" s="6" t="inlineStr">
        <is>
          <t>SC-T1</t>
        </is>
      </c>
      <c r="F39" s="6" t="inlineStr">
        <is>
          <t>DATA REQUIRED FROM MPAJ / SITE SURVEY</t>
        </is>
      </c>
      <c r="G39" s="6" t="inlineStr">
        <is>
          <t>Overtaking near crossing</t>
        </is>
      </c>
      <c r="H39" s="6" t="inlineStr">
        <is>
          <t>WAIT/HOLD until all relevant conflicting movements are proven stopped; extend for slow users</t>
        </is>
      </c>
      <c r="I39" s="6" t="inlineStr">
        <is>
          <t>Layout-specific approach/turning path; exact coordinates require simulation geometry</t>
        </is>
      </c>
      <c r="J39" s="6" t="inlineStr">
        <is>
          <t>Vehicle RED before WALK; WAIT on uncertainty/failure</t>
        </is>
      </c>
      <c r="K39" s="6" t="inlineStr">
        <is>
          <t>Sensor fusion with confidence threshold</t>
        </is>
      </c>
      <c r="L39" s="6" t="inlineStr">
        <is>
          <t>SC-T1 conflict zone - survey/simulation required</t>
        </is>
      </c>
      <c r="M39" s="6" t="inlineStr">
        <is>
          <t>Adapt detection and conflict mapping to SC-T1 legs; no change to STOP-before-WALK</t>
        </is>
      </c>
      <c r="N39" s="6" t="inlineStr">
        <is>
          <t>Pedestrian protected or held; event logged; human review for violation/emergency</t>
        </is>
      </c>
      <c r="O39" s="6" t="inlineStr">
        <is>
          <t>Assert no WALK with any conflicting movement permissive; verify seven stages and final zero speed</t>
        </is>
      </c>
    </row>
    <row r="40" ht="30" customHeight="1">
      <c r="A40" s="6" t="inlineStr">
        <is>
          <t>SC-T1-S13</t>
        </is>
      </c>
      <c r="B40" s="6" t="inlineStr">
        <is>
          <t>S13</t>
        </is>
      </c>
      <c r="C40" s="6" t="inlineStr">
        <is>
          <t>Pedestrian</t>
        </is>
      </c>
      <c r="D40" s="6" t="inlineStr">
        <is>
          <t>Pedestrian enters during WAIT</t>
        </is>
      </c>
      <c r="E40" s="6" t="inlineStr">
        <is>
          <t>SC-T1</t>
        </is>
      </c>
      <c r="F40" s="6" t="inlineStr">
        <is>
          <t>DATA REQUIRED FROM MPAJ / SITE SURVEY</t>
        </is>
      </c>
      <c r="G40" s="6" t="inlineStr">
        <is>
          <t>Pedestrian enters during WAIT</t>
        </is>
      </c>
      <c r="H40" s="6" t="inlineStr">
        <is>
          <t>WAIT/HOLD until all relevant conflicting movements are proven stopped; extend for slow users</t>
        </is>
      </c>
      <c r="I40" s="6" t="inlineStr">
        <is>
          <t>Layout-specific approach/turning path; exact coordinates require simulation geometry</t>
        </is>
      </c>
      <c r="J40" s="6" t="inlineStr">
        <is>
          <t>Vehicle RED before WALK; WAIT on uncertainty/failure</t>
        </is>
      </c>
      <c r="K40" s="6" t="inlineStr">
        <is>
          <t>Sensor fusion with confidence threshold</t>
        </is>
      </c>
      <c r="L40" s="6" t="inlineStr">
        <is>
          <t>SC-T1 conflict zone - survey/simulation required</t>
        </is>
      </c>
      <c r="M40" s="6" t="inlineStr">
        <is>
          <t>Adapt detection and conflict mapping to SC-T1 legs; no change to STOP-before-WALK</t>
        </is>
      </c>
      <c r="N40" s="6" t="inlineStr">
        <is>
          <t>Pedestrian protected or held; event logged; human review for violation/emergency</t>
        </is>
      </c>
      <c r="O40" s="6" t="inlineStr">
        <is>
          <t>Assert no WALK with any conflicting movement permissive; verify seven stages and final zero speed</t>
        </is>
      </c>
    </row>
    <row r="41" ht="30" customHeight="1">
      <c r="A41" s="6" t="inlineStr">
        <is>
          <t>SC-T1-S14</t>
        </is>
      </c>
      <c r="B41" s="6" t="inlineStr">
        <is>
          <t>S14</t>
        </is>
      </c>
      <c r="C41" s="6" t="inlineStr">
        <is>
          <t>Pedestrian</t>
        </is>
      </c>
      <c r="D41" s="6" t="inlineStr">
        <is>
          <t>Late pedestrian entry</t>
        </is>
      </c>
      <c r="E41" s="6" t="inlineStr">
        <is>
          <t>SC-T1</t>
        </is>
      </c>
      <c r="F41" s="6" t="inlineStr">
        <is>
          <t>DATA REQUIRED FROM MPAJ / SITE SURVEY</t>
        </is>
      </c>
      <c r="G41" s="6" t="inlineStr">
        <is>
          <t>Late pedestrian entry</t>
        </is>
      </c>
      <c r="H41" s="6" t="inlineStr">
        <is>
          <t>WAIT/HOLD until all relevant conflicting movements are proven stopped; extend for slow users</t>
        </is>
      </c>
      <c r="I41" s="6" t="inlineStr">
        <is>
          <t>Layout-specific approach/turning path; exact coordinates require simulation geometry</t>
        </is>
      </c>
      <c r="J41" s="6" t="inlineStr">
        <is>
          <t>Vehicle RED before WALK; WAIT on uncertainty/failure</t>
        </is>
      </c>
      <c r="K41" s="6" t="inlineStr">
        <is>
          <t>Sensor fusion with confidence threshold</t>
        </is>
      </c>
      <c r="L41" s="6" t="inlineStr">
        <is>
          <t>SC-T1 conflict zone - survey/simulation required</t>
        </is>
      </c>
      <c r="M41" s="6" t="inlineStr">
        <is>
          <t>Adapt detection and conflict mapping to SC-T1 legs; no change to STOP-before-WALK</t>
        </is>
      </c>
      <c r="N41" s="6" t="inlineStr">
        <is>
          <t>Pedestrian protected or held; event logged; human review for violation/emergency</t>
        </is>
      </c>
      <c r="O41" s="6" t="inlineStr">
        <is>
          <t>Assert no WALK with any conflicting movement permissive; verify seven stages and final zero speed</t>
        </is>
      </c>
    </row>
    <row r="42" ht="30" customHeight="1">
      <c r="A42" s="6" t="inlineStr">
        <is>
          <t>SC-T1-S15</t>
        </is>
      </c>
      <c r="B42" s="6" t="inlineStr">
        <is>
          <t>S15</t>
        </is>
      </c>
      <c r="C42" s="6" t="inlineStr">
        <is>
          <t>Pedestrian</t>
        </is>
      </c>
      <c r="D42" s="6" t="inlineStr">
        <is>
          <t>Slow or mobility-impaired pedestrian</t>
        </is>
      </c>
      <c r="E42" s="6" t="inlineStr">
        <is>
          <t>SC-T1</t>
        </is>
      </c>
      <c r="F42" s="6" t="inlineStr">
        <is>
          <t>DATA REQUIRED FROM MPAJ / SITE SURVEY</t>
        </is>
      </c>
      <c r="G42" s="6" t="inlineStr">
        <is>
          <t>Slow or mobility-impaired pedestrian</t>
        </is>
      </c>
      <c r="H42" s="6" t="inlineStr">
        <is>
          <t>WAIT/HOLD until all relevant conflicting movements are proven stopped; extend for slow users</t>
        </is>
      </c>
      <c r="I42" s="6" t="inlineStr">
        <is>
          <t>Layout-specific approach/turning path; exact coordinates require simulation geometry</t>
        </is>
      </c>
      <c r="J42" s="6" t="inlineStr">
        <is>
          <t>Vehicle RED before WALK; WAIT on uncertainty/failure</t>
        </is>
      </c>
      <c r="K42" s="6" t="inlineStr">
        <is>
          <t>Sensor fusion with confidence threshold</t>
        </is>
      </c>
      <c r="L42" s="6" t="inlineStr">
        <is>
          <t>SC-T1 conflict zone - survey/simulation required</t>
        </is>
      </c>
      <c r="M42" s="6" t="inlineStr">
        <is>
          <t>Adapt detection and conflict mapping to SC-T1 legs; no change to STOP-before-WALK</t>
        </is>
      </c>
      <c r="N42" s="6" t="inlineStr">
        <is>
          <t>Pedestrian protected or held; event logged; human review for violation/emergency</t>
        </is>
      </c>
      <c r="O42" s="6" t="inlineStr">
        <is>
          <t>Assert no WALK with any conflicting movement permissive; verify seven stages and final zero speed</t>
        </is>
      </c>
    </row>
    <row r="43" ht="30" customHeight="1">
      <c r="A43" s="6" t="inlineStr">
        <is>
          <t>SC-T1-S16</t>
        </is>
      </c>
      <c r="B43" s="6" t="inlineStr">
        <is>
          <t>S16</t>
        </is>
      </c>
      <c r="C43" s="6" t="inlineStr">
        <is>
          <t>School</t>
        </is>
      </c>
      <c r="D43" s="6" t="inlineStr">
        <is>
          <t>Child running into crossing</t>
        </is>
      </c>
      <c r="E43" s="6" t="inlineStr">
        <is>
          <t>SC-T1</t>
        </is>
      </c>
      <c r="F43" s="6" t="inlineStr">
        <is>
          <t>DATA REQUIRED FROM MPAJ / SITE SURVEY</t>
        </is>
      </c>
      <c r="G43" s="6" t="inlineStr">
        <is>
          <t>Child running into crossing</t>
        </is>
      </c>
      <c r="H43" s="6" t="inlineStr">
        <is>
          <t>WAIT/HOLD until all relevant conflicting movements are proven stopped; extend for slow users</t>
        </is>
      </c>
      <c r="I43" s="6" t="inlineStr">
        <is>
          <t>Layout-specific approach/turning path; exact coordinates require simulation geometry</t>
        </is>
      </c>
      <c r="J43" s="6" t="inlineStr">
        <is>
          <t>Vehicle RED before WALK; WAIT on uncertainty/failure</t>
        </is>
      </c>
      <c r="K43" s="6" t="inlineStr">
        <is>
          <t>Sensor fusion with confidence threshold</t>
        </is>
      </c>
      <c r="L43" s="6" t="inlineStr">
        <is>
          <t>SC-T1 conflict zone - survey/simulation required</t>
        </is>
      </c>
      <c r="M43" s="6" t="inlineStr">
        <is>
          <t>Adapt detection and conflict mapping to SC-T1 legs; no change to STOP-before-WALK</t>
        </is>
      </c>
      <c r="N43" s="6" t="inlineStr">
        <is>
          <t>Pedestrian protected or held; event logged; human review for violation/emergency</t>
        </is>
      </c>
      <c r="O43" s="6" t="inlineStr">
        <is>
          <t>Assert no WALK with any conflicting movement permissive; verify seven stages and final zero speed</t>
        </is>
      </c>
    </row>
    <row r="44" ht="30" customHeight="1">
      <c r="A44" s="6" t="inlineStr">
        <is>
          <t>SC-T1-S17</t>
        </is>
      </c>
      <c r="B44" s="6" t="inlineStr">
        <is>
          <t>S17</t>
        </is>
      </c>
      <c r="C44" s="6" t="inlineStr">
        <is>
          <t>School</t>
        </is>
      </c>
      <c r="D44" s="6" t="inlineStr">
        <is>
          <t>Group of schoolchildren</t>
        </is>
      </c>
      <c r="E44" s="6" t="inlineStr">
        <is>
          <t>SC-T1</t>
        </is>
      </c>
      <c r="F44" s="6" t="inlineStr">
        <is>
          <t>DATA REQUIRED FROM MPAJ / SITE SURVEY</t>
        </is>
      </c>
      <c r="G44" s="6" t="inlineStr">
        <is>
          <t>Group of schoolchildren</t>
        </is>
      </c>
      <c r="H44" s="6" t="inlineStr">
        <is>
          <t>WAIT/HOLD until all relevant conflicting movements are proven stopped; extend for slow users</t>
        </is>
      </c>
      <c r="I44" s="6" t="inlineStr">
        <is>
          <t>Layout-specific approach/turning path; exact coordinates require simulation geometry</t>
        </is>
      </c>
      <c r="J44" s="6" t="inlineStr">
        <is>
          <t>Vehicle RED before WALK; WAIT on uncertainty/failure</t>
        </is>
      </c>
      <c r="K44" s="6" t="inlineStr">
        <is>
          <t>Sensor fusion with confidence threshold</t>
        </is>
      </c>
      <c r="L44" s="6" t="inlineStr">
        <is>
          <t>SC-T1 conflict zone - survey/simulation required</t>
        </is>
      </c>
      <c r="M44" s="6" t="inlineStr">
        <is>
          <t>Adapt detection and conflict mapping to SC-T1 legs; no change to STOP-before-WALK</t>
        </is>
      </c>
      <c r="N44" s="6" t="inlineStr">
        <is>
          <t>Pedestrian protected or held; event logged; human review for violation/emergency</t>
        </is>
      </c>
      <c r="O44" s="6" t="inlineStr">
        <is>
          <t>Assert no WALK with any conflicting movement permissive; verify seven stages and final zero speed</t>
        </is>
      </c>
    </row>
    <row r="45" ht="30" customHeight="1">
      <c r="A45" s="6" t="inlineStr">
        <is>
          <t>SC-T1-S18</t>
        </is>
      </c>
      <c r="B45" s="6" t="inlineStr">
        <is>
          <t>S18</t>
        </is>
      </c>
      <c r="C45" s="6" t="inlineStr">
        <is>
          <t>Occlusion</t>
        </is>
      </c>
      <c r="D45" s="6" t="inlineStr">
        <is>
          <t>Bus/heavy vehicle blocks camera</t>
        </is>
      </c>
      <c r="E45" s="6" t="inlineStr">
        <is>
          <t>SC-T1</t>
        </is>
      </c>
      <c r="F45" s="6" t="inlineStr">
        <is>
          <t>DATA REQUIRED FROM MPAJ / SITE SURVEY</t>
        </is>
      </c>
      <c r="G45" s="6" t="inlineStr">
        <is>
          <t>Bus/heavy vehicle blocks camera</t>
        </is>
      </c>
      <c r="H45" s="6" t="inlineStr">
        <is>
          <t>WAIT/HOLD until all relevant conflicting movements are proven stopped; extend for slow users</t>
        </is>
      </c>
      <c r="I45" s="6" t="inlineStr">
        <is>
          <t>Layout-specific approach/turning path; exact coordinates require simulation geometry</t>
        </is>
      </c>
      <c r="J45" s="6" t="inlineStr">
        <is>
          <t>Vehicle RED before WALK; WAIT on uncertainty/failure</t>
        </is>
      </c>
      <c r="K45" s="6" t="inlineStr">
        <is>
          <t>Sensor fusion with confidence threshold</t>
        </is>
      </c>
      <c r="L45" s="6" t="inlineStr">
        <is>
          <t>SC-T1 conflict zone - survey/simulation required</t>
        </is>
      </c>
      <c r="M45" s="6" t="inlineStr">
        <is>
          <t>Adapt detection and conflict mapping to SC-T1 legs; no change to STOP-before-WALK</t>
        </is>
      </c>
      <c r="N45" s="6" t="inlineStr">
        <is>
          <t>Pedestrian protected or held; event logged; human review for violation/emergency</t>
        </is>
      </c>
      <c r="O45" s="6" t="inlineStr">
        <is>
          <t>Assert no WALK with any conflicting movement permissive; verify seven stages and final zero speed</t>
        </is>
      </c>
    </row>
    <row r="46" ht="30" customHeight="1">
      <c r="A46" s="6" t="inlineStr">
        <is>
          <t>SC-T1-S19</t>
        </is>
      </c>
      <c r="B46" s="6" t="inlineStr">
        <is>
          <t>S19</t>
        </is>
      </c>
      <c r="C46" s="6" t="inlineStr">
        <is>
          <t>Failure</t>
        </is>
      </c>
      <c r="D46" s="6" t="inlineStr">
        <is>
          <t>Sensor false positive</t>
        </is>
      </c>
      <c r="E46" s="6" t="inlineStr">
        <is>
          <t>SC-T1</t>
        </is>
      </c>
      <c r="F46" s="6" t="inlineStr">
        <is>
          <t>DATA REQUIRED FROM MPAJ / SITE SURVEY</t>
        </is>
      </c>
      <c r="G46" s="6" t="inlineStr">
        <is>
          <t>Sensor false positive</t>
        </is>
      </c>
      <c r="H46" s="6" t="inlineStr">
        <is>
          <t>WAIT/HOLD until all relevant conflicting movements are proven stopped; extend for slow users</t>
        </is>
      </c>
      <c r="I46" s="6" t="inlineStr">
        <is>
          <t>Layout-specific approach/turning path; exact coordinates require simulation geometry</t>
        </is>
      </c>
      <c r="J46" s="6" t="inlineStr">
        <is>
          <t>Vehicle RED before WALK; WAIT on uncertainty/failure</t>
        </is>
      </c>
      <c r="K46" s="6" t="inlineStr">
        <is>
          <t>Sensor fusion with confidence threshold</t>
        </is>
      </c>
      <c r="L46" s="6" t="inlineStr">
        <is>
          <t>SC-T1 conflict zone - survey/simulation required</t>
        </is>
      </c>
      <c r="M46" s="6" t="inlineStr">
        <is>
          <t>Adapt detection and conflict mapping to SC-T1 legs; no change to STOP-before-WALK</t>
        </is>
      </c>
      <c r="N46" s="6" t="inlineStr">
        <is>
          <t>Pedestrian protected or held; event logged; human review for violation/emergency</t>
        </is>
      </c>
      <c r="O46" s="6" t="inlineStr">
        <is>
          <t>Assert no WALK with any conflicting movement permissive; verify seven stages and final zero speed</t>
        </is>
      </c>
    </row>
    <row r="47" ht="30" customHeight="1">
      <c r="A47" s="6" t="inlineStr">
        <is>
          <t>SC-T1-S20</t>
        </is>
      </c>
      <c r="B47" s="6" t="inlineStr">
        <is>
          <t>S20</t>
        </is>
      </c>
      <c r="C47" s="6" t="inlineStr">
        <is>
          <t>Failure</t>
        </is>
      </c>
      <c r="D47" s="6" t="inlineStr">
        <is>
          <t>Sensor false negative</t>
        </is>
      </c>
      <c r="E47" s="6" t="inlineStr">
        <is>
          <t>SC-T1</t>
        </is>
      </c>
      <c r="F47" s="6" t="inlineStr">
        <is>
          <t>DATA REQUIRED FROM MPAJ / SITE SURVEY</t>
        </is>
      </c>
      <c r="G47" s="6" t="inlineStr">
        <is>
          <t>Sensor false negative</t>
        </is>
      </c>
      <c r="H47" s="6" t="inlineStr">
        <is>
          <t>WAIT/HOLD until all relevant conflicting movements are proven stopped; extend for slow users</t>
        </is>
      </c>
      <c r="I47" s="6" t="inlineStr">
        <is>
          <t>Layout-specific approach/turning path; exact coordinates require simulation geometry</t>
        </is>
      </c>
      <c r="J47" s="6" t="inlineStr">
        <is>
          <t>Vehicle RED before WALK; WAIT on uncertainty/failure</t>
        </is>
      </c>
      <c r="K47" s="6" t="inlineStr">
        <is>
          <t>Sensor fusion with confidence threshold</t>
        </is>
      </c>
      <c r="L47" s="6" t="inlineStr">
        <is>
          <t>SC-T1 conflict zone - survey/simulation required</t>
        </is>
      </c>
      <c r="M47" s="6" t="inlineStr">
        <is>
          <t>Adapt detection and conflict mapping to SC-T1 legs; no change to STOP-before-WALK</t>
        </is>
      </c>
      <c r="N47" s="6" t="inlineStr">
        <is>
          <t>Pedestrian protected or held; event logged; human review for violation/emergency</t>
        </is>
      </c>
      <c r="O47" s="6" t="inlineStr">
        <is>
          <t>Assert no WALK with any conflicting movement permissive; verify seven stages and final zero speed</t>
        </is>
      </c>
    </row>
    <row r="48" ht="30" customHeight="1">
      <c r="A48" s="6" t="inlineStr">
        <is>
          <t>SC-T1-S21</t>
        </is>
      </c>
      <c r="B48" s="6" t="inlineStr">
        <is>
          <t>S21</t>
        </is>
      </c>
      <c r="C48" s="6" t="inlineStr">
        <is>
          <t>Failure</t>
        </is>
      </c>
      <c r="D48" s="6" t="inlineStr">
        <is>
          <t>Signal-controller fault</t>
        </is>
      </c>
      <c r="E48" s="6" t="inlineStr">
        <is>
          <t>SC-T1</t>
        </is>
      </c>
      <c r="F48" s="6" t="inlineStr">
        <is>
          <t>DATA REQUIRED FROM MPAJ / SITE SURVEY</t>
        </is>
      </c>
      <c r="G48" s="6" t="inlineStr">
        <is>
          <t>Signal-controller fault</t>
        </is>
      </c>
      <c r="H48" s="6" t="inlineStr">
        <is>
          <t>WAIT/HOLD until all relevant conflicting movements are proven stopped; extend for slow users</t>
        </is>
      </c>
      <c r="I48" s="6" t="inlineStr">
        <is>
          <t>Layout-specific approach/turning path; exact coordinates require simulation geometry</t>
        </is>
      </c>
      <c r="J48" s="6" t="inlineStr">
        <is>
          <t>Vehicle RED before WALK; WAIT on uncertainty/failure</t>
        </is>
      </c>
      <c r="K48" s="6" t="inlineStr">
        <is>
          <t>Sensor fusion with confidence threshold</t>
        </is>
      </c>
      <c r="L48" s="6" t="inlineStr">
        <is>
          <t>SC-T1 conflict zone - survey/simulation required</t>
        </is>
      </c>
      <c r="M48" s="6" t="inlineStr">
        <is>
          <t>Adapt detection and conflict mapping to SC-T1 legs; no change to STOP-before-WALK</t>
        </is>
      </c>
      <c r="N48" s="6" t="inlineStr">
        <is>
          <t>Pedestrian protected or held; event logged; human review for violation/emergency</t>
        </is>
      </c>
      <c r="O48" s="6" t="inlineStr">
        <is>
          <t>Assert no WALK with any conflicting movement permissive; verify seven stages and final zero speed</t>
        </is>
      </c>
    </row>
    <row r="49" ht="30" customHeight="1">
      <c r="A49" s="6" t="inlineStr">
        <is>
          <t>SC-T1-S22</t>
        </is>
      </c>
      <c r="B49" s="6" t="inlineStr">
        <is>
          <t>S22</t>
        </is>
      </c>
      <c r="C49" s="6" t="inlineStr">
        <is>
          <t>Failure</t>
        </is>
      </c>
      <c r="D49" s="6" t="inlineStr">
        <is>
          <t>Power or communications failure</t>
        </is>
      </c>
      <c r="E49" s="6" t="inlineStr">
        <is>
          <t>SC-T1</t>
        </is>
      </c>
      <c r="F49" s="6" t="inlineStr">
        <is>
          <t>DATA REQUIRED FROM MPAJ / SITE SURVEY</t>
        </is>
      </c>
      <c r="G49" s="6" t="inlineStr">
        <is>
          <t>Power or communications failure</t>
        </is>
      </c>
      <c r="H49" s="6" t="inlineStr">
        <is>
          <t>WAIT/HOLD until all relevant conflicting movements are proven stopped; extend for slow users</t>
        </is>
      </c>
      <c r="I49" s="6" t="inlineStr">
        <is>
          <t>Layout-specific approach/turning path; exact coordinates require simulation geometry</t>
        </is>
      </c>
      <c r="J49" s="6" t="inlineStr">
        <is>
          <t>Vehicle RED before WALK; WAIT on uncertainty/failure</t>
        </is>
      </c>
      <c r="K49" s="6" t="inlineStr">
        <is>
          <t>Sensor fusion with confidence threshold</t>
        </is>
      </c>
      <c r="L49" s="6" t="inlineStr">
        <is>
          <t>SC-T1 conflict zone - survey/simulation required</t>
        </is>
      </c>
      <c r="M49" s="6" t="inlineStr">
        <is>
          <t>Adapt detection and conflict mapping to SC-T1 legs; no change to STOP-before-WALK</t>
        </is>
      </c>
      <c r="N49" s="6" t="inlineStr">
        <is>
          <t>Pedestrian protected or held; event logged; human review for violation/emergency</t>
        </is>
      </c>
      <c r="O49" s="6" t="inlineStr">
        <is>
          <t>Assert no WALK with any conflicting movement permissive; verify seven stages and final zero speed</t>
        </is>
      </c>
    </row>
    <row r="50" ht="30" customHeight="1">
      <c r="A50" s="6" t="inlineStr">
        <is>
          <t>SC-T1-S23</t>
        </is>
      </c>
      <c r="B50" s="6" t="inlineStr">
        <is>
          <t>S23</t>
        </is>
      </c>
      <c r="C50" s="6" t="inlineStr">
        <is>
          <t>Emergency</t>
        </is>
      </c>
      <c r="D50" s="6" t="inlineStr">
        <is>
          <t>Collision or life-threatening incident</t>
        </is>
      </c>
      <c r="E50" s="6" t="inlineStr">
        <is>
          <t>SC-T1</t>
        </is>
      </c>
      <c r="F50" s="6" t="inlineStr">
        <is>
          <t>DATA REQUIRED FROM MPAJ / SITE SURVEY</t>
        </is>
      </c>
      <c r="G50" s="6" t="inlineStr">
        <is>
          <t>Collision or life-threatening incident</t>
        </is>
      </c>
      <c r="H50" s="6" t="inlineStr">
        <is>
          <t>WAIT/HOLD until all relevant conflicting movements are proven stopped; extend for slow users</t>
        </is>
      </c>
      <c r="I50" s="6" t="inlineStr">
        <is>
          <t>Layout-specific approach/turning path; exact coordinates require simulation geometry</t>
        </is>
      </c>
      <c r="J50" s="6" t="inlineStr">
        <is>
          <t>Vehicle RED before WALK; WAIT on uncertainty/failure</t>
        </is>
      </c>
      <c r="K50" s="6" t="inlineStr">
        <is>
          <t>Sensor fusion with confidence threshold</t>
        </is>
      </c>
      <c r="L50" s="6" t="inlineStr">
        <is>
          <t>SC-T1 conflict zone - survey/simulation required</t>
        </is>
      </c>
      <c r="M50" s="6" t="inlineStr">
        <is>
          <t>Adapt detection and conflict mapping to SC-T1 legs; no change to STOP-before-WALK</t>
        </is>
      </c>
      <c r="N50" s="6" t="inlineStr">
        <is>
          <t>Pedestrian protected or held; event logged; human review for violation/emergency</t>
        </is>
      </c>
      <c r="O50" s="6" t="inlineStr">
        <is>
          <t>Assert no WALK with any conflicting movement permissive; verify seven stages and final zero speed</t>
        </is>
      </c>
    </row>
    <row r="51" ht="30" customHeight="1">
      <c r="A51" s="6" t="inlineStr">
        <is>
          <t>SC-T1-S24</t>
        </is>
      </c>
      <c r="B51" s="6" t="inlineStr">
        <is>
          <t>S24</t>
        </is>
      </c>
      <c r="C51" s="6" t="inlineStr">
        <is>
          <t>Emergency</t>
        </is>
      </c>
      <c r="D51" s="6" t="inlineStr">
        <is>
          <t>Emergency-vehicle approach</t>
        </is>
      </c>
      <c r="E51" s="6" t="inlineStr">
        <is>
          <t>SC-T1</t>
        </is>
      </c>
      <c r="F51" s="6" t="inlineStr">
        <is>
          <t>DATA REQUIRED FROM MPAJ / SITE SURVEY</t>
        </is>
      </c>
      <c r="G51" s="6" t="inlineStr">
        <is>
          <t>Emergency-vehicle approach</t>
        </is>
      </c>
      <c r="H51" s="6" t="inlineStr">
        <is>
          <t>WAIT/HOLD until all relevant conflicting movements are proven stopped; extend for slow users</t>
        </is>
      </c>
      <c r="I51" s="6" t="inlineStr">
        <is>
          <t>Layout-specific approach/turning path; exact coordinates require simulation geometry</t>
        </is>
      </c>
      <c r="J51" s="6" t="inlineStr">
        <is>
          <t>Vehicle RED before WALK; WAIT on uncertainty/failure</t>
        </is>
      </c>
      <c r="K51" s="6" t="inlineStr">
        <is>
          <t>Sensor fusion with confidence threshold</t>
        </is>
      </c>
      <c r="L51" s="6" t="inlineStr">
        <is>
          <t>SC-T1 conflict zone - survey/simulation required</t>
        </is>
      </c>
      <c r="M51" s="6" t="inlineStr">
        <is>
          <t>Adapt detection and conflict mapping to SC-T1 legs; no change to STOP-before-WALK</t>
        </is>
      </c>
      <c r="N51" s="6" t="inlineStr">
        <is>
          <t>Pedestrian protected or held; event logged; human review for violation/emergency</t>
        </is>
      </c>
      <c r="O51" s="6" t="inlineStr">
        <is>
          <t>Assert no WALK with any conflicting movement permissive; verify seven stages and final zero speed</t>
        </is>
      </c>
    </row>
    <row r="52" ht="30" customHeight="1">
      <c r="A52" s="6" t="inlineStr">
        <is>
          <t>SC-X1-S01</t>
        </is>
      </c>
      <c r="B52" s="6" t="inlineStr">
        <is>
          <t>S01</t>
        </is>
      </c>
      <c r="C52" s="6" t="inlineStr">
        <is>
          <t>Normal</t>
        </is>
      </c>
      <c r="D52" s="6" t="inlineStr">
        <is>
          <t>Protected pedestrian request</t>
        </is>
      </c>
      <c r="E52" s="6" t="inlineStr">
        <is>
          <t>SC-X1</t>
        </is>
      </c>
      <c r="F52" s="6" t="inlineStr">
        <is>
          <t>DATA REQUIRED FROM MPAJ / SITE SURVEY</t>
        </is>
      </c>
      <c r="G52" s="6" t="inlineStr">
        <is>
          <t>Protected pedestrian request</t>
        </is>
      </c>
      <c r="H52" s="6" t="inlineStr">
        <is>
          <t>WAIT/HOLD until all relevant conflicting movements are proven stopped; extend for slow users</t>
        </is>
      </c>
      <c r="I52" s="6" t="inlineStr">
        <is>
          <t>Layout-specific approach/turning path; exact coordinates require simulation geometry</t>
        </is>
      </c>
      <c r="J52" s="6" t="inlineStr">
        <is>
          <t>Vehicle RED before WALK; WAIT on uncertainty/failure</t>
        </is>
      </c>
      <c r="K52" s="6" t="inlineStr">
        <is>
          <t>Sensor fusion with confidence threshold</t>
        </is>
      </c>
      <c r="L52" s="6" t="inlineStr">
        <is>
          <t>SC-X1 conflict zone - survey/simulation required</t>
        </is>
      </c>
      <c r="M52" s="6" t="inlineStr">
        <is>
          <t>Adapt detection and conflict mapping to SC-X1 legs; no change to STOP-before-WALK</t>
        </is>
      </c>
      <c r="N52" s="6" t="inlineStr">
        <is>
          <t>Pedestrian protected or held; event logged; human review for violation/emergency</t>
        </is>
      </c>
      <c r="O52" s="6" t="inlineStr">
        <is>
          <t>Assert no WALK with any conflicting movement permissive; verify seven stages and final zero speed</t>
        </is>
      </c>
    </row>
    <row r="53" ht="30" customHeight="1">
      <c r="A53" s="6" t="inlineStr">
        <is>
          <t>SC-X1-S02</t>
        </is>
      </c>
      <c r="B53" s="6" t="inlineStr">
        <is>
          <t>S02</t>
        </is>
      </c>
      <c r="C53" s="6" t="inlineStr">
        <is>
          <t>Violation</t>
        </is>
      </c>
      <c r="D53" s="6" t="inlineStr">
        <is>
          <t>Left-turn conflict</t>
        </is>
      </c>
      <c r="E53" s="6" t="inlineStr">
        <is>
          <t>SC-X1</t>
        </is>
      </c>
      <c r="F53" s="6" t="inlineStr">
        <is>
          <t>DATA REQUIRED FROM MPAJ / SITE SURVEY</t>
        </is>
      </c>
      <c r="G53" s="6" t="inlineStr">
        <is>
          <t>Left-turn conflict</t>
        </is>
      </c>
      <c r="H53" s="6" t="inlineStr">
        <is>
          <t>WAIT/HOLD until all relevant conflicting movements are proven stopped; extend for slow users</t>
        </is>
      </c>
      <c r="I53" s="6" t="inlineStr">
        <is>
          <t>Layout-specific approach/turning path; exact coordinates require simulation geometry</t>
        </is>
      </c>
      <c r="J53" s="6" t="inlineStr">
        <is>
          <t>Vehicle RED before WALK; WAIT on uncertainty/failure</t>
        </is>
      </c>
      <c r="K53" s="6" t="inlineStr">
        <is>
          <t>Sensor fusion with confidence threshold</t>
        </is>
      </c>
      <c r="L53" s="6" t="inlineStr">
        <is>
          <t>SC-X1 conflict zone - survey/simulation required</t>
        </is>
      </c>
      <c r="M53" s="6" t="inlineStr">
        <is>
          <t>Adapt detection and conflict mapping to SC-X1 legs; no change to STOP-before-WALK</t>
        </is>
      </c>
      <c r="N53" s="6" t="inlineStr">
        <is>
          <t>Pedestrian protected or held; event logged; human review for violation/emergency</t>
        </is>
      </c>
      <c r="O53" s="6" t="inlineStr">
        <is>
          <t>Assert no WALK with any conflicting movement permissive; verify seven stages and final zero speed</t>
        </is>
      </c>
    </row>
    <row r="54" ht="30" customHeight="1">
      <c r="A54" s="6" t="inlineStr">
        <is>
          <t>SC-X1-S03</t>
        </is>
      </c>
      <c r="B54" s="6" t="inlineStr">
        <is>
          <t>S03</t>
        </is>
      </c>
      <c r="C54" s="6" t="inlineStr">
        <is>
          <t>Violation</t>
        </is>
      </c>
      <c r="D54" s="6" t="inlineStr">
        <is>
          <t>Right-turn conflict</t>
        </is>
      </c>
      <c r="E54" s="6" t="inlineStr">
        <is>
          <t>SC-X1</t>
        </is>
      </c>
      <c r="F54" s="6" t="inlineStr">
        <is>
          <t>DATA REQUIRED FROM MPAJ / SITE SURVEY</t>
        </is>
      </c>
      <c r="G54" s="6" t="inlineStr">
        <is>
          <t>Right-turn conflict</t>
        </is>
      </c>
      <c r="H54" s="6" t="inlineStr">
        <is>
          <t>WAIT/HOLD until all relevant conflicting movements are proven stopped; extend for slow users</t>
        </is>
      </c>
      <c r="I54" s="6" t="inlineStr">
        <is>
          <t>Layout-specific approach/turning path; exact coordinates require simulation geometry</t>
        </is>
      </c>
      <c r="J54" s="6" t="inlineStr">
        <is>
          <t>Vehicle RED before WALK; WAIT on uncertainty/failure</t>
        </is>
      </c>
      <c r="K54" s="6" t="inlineStr">
        <is>
          <t>Sensor fusion with confidence threshold</t>
        </is>
      </c>
      <c r="L54" s="6" t="inlineStr">
        <is>
          <t>SC-X1 conflict zone - survey/simulation required</t>
        </is>
      </c>
      <c r="M54" s="6" t="inlineStr">
        <is>
          <t>Adapt detection and conflict mapping to SC-X1 legs; no change to STOP-before-WALK</t>
        </is>
      </c>
      <c r="N54" s="6" t="inlineStr">
        <is>
          <t>Pedestrian protected or held; event logged; human review for violation/emergency</t>
        </is>
      </c>
      <c r="O54" s="6" t="inlineStr">
        <is>
          <t>Assert no WALK with any conflicting movement permissive; verify seven stages and final zero speed</t>
        </is>
      </c>
    </row>
    <row r="55" ht="30" customHeight="1">
      <c r="A55" s="6" t="inlineStr">
        <is>
          <t>SC-X1-S04</t>
        </is>
      </c>
      <c r="B55" s="6" t="inlineStr">
        <is>
          <t>S04</t>
        </is>
      </c>
      <c r="C55" s="6" t="inlineStr">
        <is>
          <t>Violation</t>
        </is>
      </c>
      <c r="D55" s="6" t="inlineStr">
        <is>
          <t>Through-vehicle conflict</t>
        </is>
      </c>
      <c r="E55" s="6" t="inlineStr">
        <is>
          <t>SC-X1</t>
        </is>
      </c>
      <c r="F55" s="6" t="inlineStr">
        <is>
          <t>DATA REQUIRED FROM MPAJ / SITE SURVEY</t>
        </is>
      </c>
      <c r="G55" s="6" t="inlineStr">
        <is>
          <t>Through-vehicle conflict</t>
        </is>
      </c>
      <c r="H55" s="6" t="inlineStr">
        <is>
          <t>WAIT/HOLD until all relevant conflicting movements are proven stopped; extend for slow users</t>
        </is>
      </c>
      <c r="I55" s="6" t="inlineStr">
        <is>
          <t>Layout-specific approach/turning path; exact coordinates require simulation geometry</t>
        </is>
      </c>
      <c r="J55" s="6" t="inlineStr">
        <is>
          <t>Vehicle RED before WALK; WAIT on uncertainty/failure</t>
        </is>
      </c>
      <c r="K55" s="6" t="inlineStr">
        <is>
          <t>Sensor fusion with confidence threshold</t>
        </is>
      </c>
      <c r="L55" s="6" t="inlineStr">
        <is>
          <t>SC-X1 conflict zone - survey/simulation required</t>
        </is>
      </c>
      <c r="M55" s="6" t="inlineStr">
        <is>
          <t>Adapt detection and conflict mapping to SC-X1 legs; no change to STOP-before-WALK</t>
        </is>
      </c>
      <c r="N55" s="6" t="inlineStr">
        <is>
          <t>Pedestrian protected or held; event logged; human review for violation/emergency</t>
        </is>
      </c>
      <c r="O55" s="6" t="inlineStr">
        <is>
          <t>Assert no WALK with any conflicting movement permissive; verify seven stages and final zero speed</t>
        </is>
      </c>
    </row>
    <row r="56" ht="30" customHeight="1">
      <c r="A56" s="6" t="inlineStr">
        <is>
          <t>SC-X1-S05</t>
        </is>
      </c>
      <c r="B56" s="6" t="inlineStr">
        <is>
          <t>S05</t>
        </is>
      </c>
      <c r="C56" s="6" t="inlineStr">
        <is>
          <t>Violation</t>
        </is>
      </c>
      <c r="D56" s="6" t="inlineStr">
        <is>
          <t>Red-light violation</t>
        </is>
      </c>
      <c r="E56" s="6" t="inlineStr">
        <is>
          <t>SC-X1</t>
        </is>
      </c>
      <c r="F56" s="6" t="inlineStr">
        <is>
          <t>DATA REQUIRED FROM MPAJ / SITE SURVEY</t>
        </is>
      </c>
      <c r="G56" s="6" t="inlineStr">
        <is>
          <t>Red-light violation</t>
        </is>
      </c>
      <c r="H56" s="6" t="inlineStr">
        <is>
          <t>WAIT/HOLD until all relevant conflicting movements are proven stopped; extend for slow users</t>
        </is>
      </c>
      <c r="I56" s="6" t="inlineStr">
        <is>
          <t>Layout-specific approach/turning path; exact coordinates require simulation geometry</t>
        </is>
      </c>
      <c r="J56" s="6" t="inlineStr">
        <is>
          <t>Vehicle RED before WALK; WAIT on uncertainty/failure</t>
        </is>
      </c>
      <c r="K56" s="6" t="inlineStr">
        <is>
          <t>Sensor fusion with confidence threshold</t>
        </is>
      </c>
      <c r="L56" s="6" t="inlineStr">
        <is>
          <t>SC-X1 conflict zone - survey/simulation required</t>
        </is>
      </c>
      <c r="M56" s="6" t="inlineStr">
        <is>
          <t>Adapt detection and conflict mapping to SC-X1 legs; no change to STOP-before-WALK</t>
        </is>
      </c>
      <c r="N56" s="6" t="inlineStr">
        <is>
          <t>Pedestrian protected or held; event logged; human review for violation/emergency</t>
        </is>
      </c>
      <c r="O56" s="6" t="inlineStr">
        <is>
          <t>Assert no WALK with any conflicting movement permissive; verify seven stages and final zero speed</t>
        </is>
      </c>
    </row>
    <row r="57" ht="30" customHeight="1">
      <c r="A57" s="6" t="inlineStr">
        <is>
          <t>SC-X1-S06</t>
        </is>
      </c>
      <c r="B57" s="6" t="inlineStr">
        <is>
          <t>S06</t>
        </is>
      </c>
      <c r="C57" s="6" t="inlineStr">
        <is>
          <t>Violation</t>
        </is>
      </c>
      <c r="D57" s="6" t="inlineStr">
        <is>
          <t>Speeding approach</t>
        </is>
      </c>
      <c r="E57" s="6" t="inlineStr">
        <is>
          <t>SC-X1</t>
        </is>
      </c>
      <c r="F57" s="6" t="inlineStr">
        <is>
          <t>DATA REQUIRED FROM MPAJ / SITE SURVEY</t>
        </is>
      </c>
      <c r="G57" s="6" t="inlineStr">
        <is>
          <t>Speeding approach</t>
        </is>
      </c>
      <c r="H57" s="6" t="inlineStr">
        <is>
          <t>WAIT/HOLD until all relevant conflicting movements are proven stopped; extend for slow users</t>
        </is>
      </c>
      <c r="I57" s="6" t="inlineStr">
        <is>
          <t>Layout-specific approach/turning path; exact coordinates require simulation geometry</t>
        </is>
      </c>
      <c r="J57" s="6" t="inlineStr">
        <is>
          <t>Vehicle RED before WALK; WAIT on uncertainty/failure</t>
        </is>
      </c>
      <c r="K57" s="6" t="inlineStr">
        <is>
          <t>Sensor fusion with confidence threshold</t>
        </is>
      </c>
      <c r="L57" s="6" t="inlineStr">
        <is>
          <t>SC-X1 conflict zone - survey/simulation required</t>
        </is>
      </c>
      <c r="M57" s="6" t="inlineStr">
        <is>
          <t>Adapt detection and conflict mapping to SC-X1 legs; no change to STOP-before-WALK</t>
        </is>
      </c>
      <c r="N57" s="6" t="inlineStr">
        <is>
          <t>Pedestrian protected or held; event logged; human review for violation/emergency</t>
        </is>
      </c>
      <c r="O57" s="6" t="inlineStr">
        <is>
          <t>Assert no WALK with any conflicting movement permissive; verify seven stages and final zero speed</t>
        </is>
      </c>
    </row>
    <row r="58" ht="30" customHeight="1">
      <c r="A58" s="6" t="inlineStr">
        <is>
          <t>SC-X1-S07</t>
        </is>
      </c>
      <c r="B58" s="6" t="inlineStr">
        <is>
          <t>S07</t>
        </is>
      </c>
      <c r="C58" s="6" t="inlineStr">
        <is>
          <t>Violation</t>
        </is>
      </c>
      <c r="D58" s="6" t="inlineStr">
        <is>
          <t>Failure to yield</t>
        </is>
      </c>
      <c r="E58" s="6" t="inlineStr">
        <is>
          <t>SC-X1</t>
        </is>
      </c>
      <c r="F58" s="6" t="inlineStr">
        <is>
          <t>DATA REQUIRED FROM MPAJ / SITE SURVEY</t>
        </is>
      </c>
      <c r="G58" s="6" t="inlineStr">
        <is>
          <t>Failure to yield</t>
        </is>
      </c>
      <c r="H58" s="6" t="inlineStr">
        <is>
          <t>WAIT/HOLD until all relevant conflicting movements are proven stopped; extend for slow users</t>
        </is>
      </c>
      <c r="I58" s="6" t="inlineStr">
        <is>
          <t>Layout-specific approach/turning path; exact coordinates require simulation geometry</t>
        </is>
      </c>
      <c r="J58" s="6" t="inlineStr">
        <is>
          <t>Vehicle RED before WALK; WAIT on uncertainty/failure</t>
        </is>
      </c>
      <c r="K58" s="6" t="inlineStr">
        <is>
          <t>Sensor fusion with confidence threshold</t>
        </is>
      </c>
      <c r="L58" s="6" t="inlineStr">
        <is>
          <t>SC-X1 conflict zone - survey/simulation required</t>
        </is>
      </c>
      <c r="M58" s="6" t="inlineStr">
        <is>
          <t>Adapt detection and conflict mapping to SC-X1 legs; no change to STOP-before-WALK</t>
        </is>
      </c>
      <c r="N58" s="6" t="inlineStr">
        <is>
          <t>Pedestrian protected or held; event logged; human review for violation/emergency</t>
        </is>
      </c>
      <c r="O58" s="6" t="inlineStr">
        <is>
          <t>Assert no WALK with any conflicting movement permissive; verify seven stages and final zero speed</t>
        </is>
      </c>
    </row>
    <row r="59" ht="30" customHeight="1">
      <c r="A59" s="6" t="inlineStr">
        <is>
          <t>SC-X1-S08</t>
        </is>
      </c>
      <c r="B59" s="6" t="inlineStr">
        <is>
          <t>S08</t>
        </is>
      </c>
      <c r="C59" s="6" t="inlineStr">
        <is>
          <t>Violation</t>
        </is>
      </c>
      <c r="D59" s="6" t="inlineStr">
        <is>
          <t>Vehicle stopping over crossing</t>
        </is>
      </c>
      <c r="E59" s="6" t="inlineStr">
        <is>
          <t>SC-X1</t>
        </is>
      </c>
      <c r="F59" s="6" t="inlineStr">
        <is>
          <t>DATA REQUIRED FROM MPAJ / SITE SURVEY</t>
        </is>
      </c>
      <c r="G59" s="6" t="inlineStr">
        <is>
          <t>Vehicle stopping over crossing</t>
        </is>
      </c>
      <c r="H59" s="6" t="inlineStr">
        <is>
          <t>WAIT/HOLD until all relevant conflicting movements are proven stopped; extend for slow users</t>
        </is>
      </c>
      <c r="I59" s="6" t="inlineStr">
        <is>
          <t>Layout-specific approach/turning path; exact coordinates require simulation geometry</t>
        </is>
      </c>
      <c r="J59" s="6" t="inlineStr">
        <is>
          <t>Vehicle RED before WALK; WAIT on uncertainty/failure</t>
        </is>
      </c>
      <c r="K59" s="6" t="inlineStr">
        <is>
          <t>Sensor fusion with confidence threshold</t>
        </is>
      </c>
      <c r="L59" s="6" t="inlineStr">
        <is>
          <t>SC-X1 conflict zone - survey/simulation required</t>
        </is>
      </c>
      <c r="M59" s="6" t="inlineStr">
        <is>
          <t>Adapt detection and conflict mapping to SC-X1 legs; no change to STOP-before-WALK</t>
        </is>
      </c>
      <c r="N59" s="6" t="inlineStr">
        <is>
          <t>Pedestrian protected or held; event logged; human review for violation/emergency</t>
        </is>
      </c>
      <c r="O59" s="6" t="inlineStr">
        <is>
          <t>Assert no WALK with any conflicting movement permissive; verify seven stages and final zero speed</t>
        </is>
      </c>
    </row>
    <row r="60" ht="30" customHeight="1">
      <c r="A60" s="6" t="inlineStr">
        <is>
          <t>SC-X1-S09</t>
        </is>
      </c>
      <c r="B60" s="6" t="inlineStr">
        <is>
          <t>S09</t>
        </is>
      </c>
      <c r="C60" s="6" t="inlineStr">
        <is>
          <t>Violation</t>
        </is>
      </c>
      <c r="D60" s="6" t="inlineStr">
        <is>
          <t>Queue spillback</t>
        </is>
      </c>
      <c r="E60" s="6" t="inlineStr">
        <is>
          <t>SC-X1</t>
        </is>
      </c>
      <c r="F60" s="6" t="inlineStr">
        <is>
          <t>DATA REQUIRED FROM MPAJ / SITE SURVEY</t>
        </is>
      </c>
      <c r="G60" s="6" t="inlineStr">
        <is>
          <t>Queue spillback</t>
        </is>
      </c>
      <c r="H60" s="6" t="inlineStr">
        <is>
          <t>WAIT/HOLD until all relevant conflicting movements are proven stopped; extend for slow users</t>
        </is>
      </c>
      <c r="I60" s="6" t="inlineStr">
        <is>
          <t>Layout-specific approach/turning path; exact coordinates require simulation geometry</t>
        </is>
      </c>
      <c r="J60" s="6" t="inlineStr">
        <is>
          <t>Vehicle RED before WALK; WAIT on uncertainty/failure</t>
        </is>
      </c>
      <c r="K60" s="6" t="inlineStr">
        <is>
          <t>Sensor fusion with confidence threshold</t>
        </is>
      </c>
      <c r="L60" s="6" t="inlineStr">
        <is>
          <t>SC-X1 conflict zone - survey/simulation required</t>
        </is>
      </c>
      <c r="M60" s="6" t="inlineStr">
        <is>
          <t>Adapt detection and conflict mapping to SC-X1 legs; no change to STOP-before-WALK</t>
        </is>
      </c>
      <c r="N60" s="6" t="inlineStr">
        <is>
          <t>Pedestrian protected or held; event logged; human review for violation/emergency</t>
        </is>
      </c>
      <c r="O60" s="6" t="inlineStr">
        <is>
          <t>Assert no WALK with any conflicting movement permissive; verify seven stages and final zero speed</t>
        </is>
      </c>
    </row>
    <row r="61" ht="30" customHeight="1">
      <c r="A61" s="6" t="inlineStr">
        <is>
          <t>SC-X1-S10</t>
        </is>
      </c>
      <c r="B61" s="6" t="inlineStr">
        <is>
          <t>S10</t>
        </is>
      </c>
      <c r="C61" s="6" t="inlineStr">
        <is>
          <t>Violation</t>
        </is>
      </c>
      <c r="D61" s="6" t="inlineStr">
        <is>
          <t>Illegal U-turn</t>
        </is>
      </c>
      <c r="E61" s="6" t="inlineStr">
        <is>
          <t>SC-X1</t>
        </is>
      </c>
      <c r="F61" s="6" t="inlineStr">
        <is>
          <t>DATA REQUIRED FROM MPAJ / SITE SURVEY</t>
        </is>
      </c>
      <c r="G61" s="6" t="inlineStr">
        <is>
          <t>Illegal U-turn</t>
        </is>
      </c>
      <c r="H61" s="6" t="inlineStr">
        <is>
          <t>WAIT/HOLD until all relevant conflicting movements are proven stopped; extend for slow users</t>
        </is>
      </c>
      <c r="I61" s="6" t="inlineStr">
        <is>
          <t>Layout-specific approach/turning path; exact coordinates require simulation geometry</t>
        </is>
      </c>
      <c r="J61" s="6" t="inlineStr">
        <is>
          <t>Vehicle RED before WALK; WAIT on uncertainty/failure</t>
        </is>
      </c>
      <c r="K61" s="6" t="inlineStr">
        <is>
          <t>Sensor fusion with confidence threshold</t>
        </is>
      </c>
      <c r="L61" s="6" t="inlineStr">
        <is>
          <t>SC-X1 conflict zone - survey/simulation required</t>
        </is>
      </c>
      <c r="M61" s="6" t="inlineStr">
        <is>
          <t>Adapt detection and conflict mapping to SC-X1 legs; no change to STOP-before-WALK</t>
        </is>
      </c>
      <c r="N61" s="6" t="inlineStr">
        <is>
          <t>Pedestrian protected or held; event logged; human review for violation/emergency</t>
        </is>
      </c>
      <c r="O61" s="6" t="inlineStr">
        <is>
          <t>Assert no WALK with any conflicting movement permissive; verify seven stages and final zero speed</t>
        </is>
      </c>
    </row>
    <row r="62" ht="30" customHeight="1">
      <c r="A62" s="6" t="inlineStr">
        <is>
          <t>SC-X1-S11</t>
        </is>
      </c>
      <c r="B62" s="6" t="inlineStr">
        <is>
          <t>S11</t>
        </is>
      </c>
      <c r="C62" s="6" t="inlineStr">
        <is>
          <t>Violation</t>
        </is>
      </c>
      <c r="D62" s="6" t="inlineStr">
        <is>
          <t>Motorcycle filtering</t>
        </is>
      </c>
      <c r="E62" s="6" t="inlineStr">
        <is>
          <t>SC-X1</t>
        </is>
      </c>
      <c r="F62" s="6" t="inlineStr">
        <is>
          <t>DATA REQUIRED FROM MPAJ / SITE SURVEY</t>
        </is>
      </c>
      <c r="G62" s="6" t="inlineStr">
        <is>
          <t>Motorcycle filtering</t>
        </is>
      </c>
      <c r="H62" s="6" t="inlineStr">
        <is>
          <t>WAIT/HOLD until all relevant conflicting movements are proven stopped; extend for slow users</t>
        </is>
      </c>
      <c r="I62" s="6" t="inlineStr">
        <is>
          <t>Layout-specific approach/turning path; exact coordinates require simulation geometry</t>
        </is>
      </c>
      <c r="J62" s="6" t="inlineStr">
        <is>
          <t>Vehicle RED before WALK; WAIT on uncertainty/failure</t>
        </is>
      </c>
      <c r="K62" s="6" t="inlineStr">
        <is>
          <t>Sensor fusion with confidence threshold</t>
        </is>
      </c>
      <c r="L62" s="6" t="inlineStr">
        <is>
          <t>SC-X1 conflict zone - survey/simulation required</t>
        </is>
      </c>
      <c r="M62" s="6" t="inlineStr">
        <is>
          <t>Adapt detection and conflict mapping to SC-X1 legs; no change to STOP-before-WALK</t>
        </is>
      </c>
      <c r="N62" s="6" t="inlineStr">
        <is>
          <t>Pedestrian protected or held; event logged; human review for violation/emergency</t>
        </is>
      </c>
      <c r="O62" s="6" t="inlineStr">
        <is>
          <t>Assert no WALK with any conflicting movement permissive; verify seven stages and final zero speed</t>
        </is>
      </c>
    </row>
    <row r="63" ht="30" customHeight="1">
      <c r="A63" s="6" t="inlineStr">
        <is>
          <t>SC-X1-S12</t>
        </is>
      </c>
      <c r="B63" s="6" t="inlineStr">
        <is>
          <t>S12</t>
        </is>
      </c>
      <c r="C63" s="6" t="inlineStr">
        <is>
          <t>Violation</t>
        </is>
      </c>
      <c r="D63" s="6" t="inlineStr">
        <is>
          <t>Overtaking near crossing</t>
        </is>
      </c>
      <c r="E63" s="6" t="inlineStr">
        <is>
          <t>SC-X1</t>
        </is>
      </c>
      <c r="F63" s="6" t="inlineStr">
        <is>
          <t>DATA REQUIRED FROM MPAJ / SITE SURVEY</t>
        </is>
      </c>
      <c r="G63" s="6" t="inlineStr">
        <is>
          <t>Overtaking near crossing</t>
        </is>
      </c>
      <c r="H63" s="6" t="inlineStr">
        <is>
          <t>WAIT/HOLD until all relevant conflicting movements are proven stopped; extend for slow users</t>
        </is>
      </c>
      <c r="I63" s="6" t="inlineStr">
        <is>
          <t>Layout-specific approach/turning path; exact coordinates require simulation geometry</t>
        </is>
      </c>
      <c r="J63" s="6" t="inlineStr">
        <is>
          <t>Vehicle RED before WALK; WAIT on uncertainty/failure</t>
        </is>
      </c>
      <c r="K63" s="6" t="inlineStr">
        <is>
          <t>Sensor fusion with confidence threshold</t>
        </is>
      </c>
      <c r="L63" s="6" t="inlineStr">
        <is>
          <t>SC-X1 conflict zone - survey/simulation required</t>
        </is>
      </c>
      <c r="M63" s="6" t="inlineStr">
        <is>
          <t>Adapt detection and conflict mapping to SC-X1 legs; no change to STOP-before-WALK</t>
        </is>
      </c>
      <c r="N63" s="6" t="inlineStr">
        <is>
          <t>Pedestrian protected or held; event logged; human review for violation/emergency</t>
        </is>
      </c>
      <c r="O63" s="6" t="inlineStr">
        <is>
          <t>Assert no WALK with any conflicting movement permissive; verify seven stages and final zero speed</t>
        </is>
      </c>
    </row>
    <row r="64" ht="30" customHeight="1">
      <c r="A64" s="6" t="inlineStr">
        <is>
          <t>SC-X1-S13</t>
        </is>
      </c>
      <c r="B64" s="6" t="inlineStr">
        <is>
          <t>S13</t>
        </is>
      </c>
      <c r="C64" s="6" t="inlineStr">
        <is>
          <t>Pedestrian</t>
        </is>
      </c>
      <c r="D64" s="6" t="inlineStr">
        <is>
          <t>Pedestrian enters during WAIT</t>
        </is>
      </c>
      <c r="E64" s="6" t="inlineStr">
        <is>
          <t>SC-X1</t>
        </is>
      </c>
      <c r="F64" s="6" t="inlineStr">
        <is>
          <t>DATA REQUIRED FROM MPAJ / SITE SURVEY</t>
        </is>
      </c>
      <c r="G64" s="6" t="inlineStr">
        <is>
          <t>Pedestrian enters during WAIT</t>
        </is>
      </c>
      <c r="H64" s="6" t="inlineStr">
        <is>
          <t>WAIT/HOLD until all relevant conflicting movements are proven stopped; extend for slow users</t>
        </is>
      </c>
      <c r="I64" s="6" t="inlineStr">
        <is>
          <t>Layout-specific approach/turning path; exact coordinates require simulation geometry</t>
        </is>
      </c>
      <c r="J64" s="6" t="inlineStr">
        <is>
          <t>Vehicle RED before WALK; WAIT on uncertainty/failure</t>
        </is>
      </c>
      <c r="K64" s="6" t="inlineStr">
        <is>
          <t>Sensor fusion with confidence threshold</t>
        </is>
      </c>
      <c r="L64" s="6" t="inlineStr">
        <is>
          <t>SC-X1 conflict zone - survey/simulation required</t>
        </is>
      </c>
      <c r="M64" s="6" t="inlineStr">
        <is>
          <t>Adapt detection and conflict mapping to SC-X1 legs; no change to STOP-before-WALK</t>
        </is>
      </c>
      <c r="N64" s="6" t="inlineStr">
        <is>
          <t>Pedestrian protected or held; event logged; human review for violation/emergency</t>
        </is>
      </c>
      <c r="O64" s="6" t="inlineStr">
        <is>
          <t>Assert no WALK with any conflicting movement permissive; verify seven stages and final zero speed</t>
        </is>
      </c>
    </row>
    <row r="65" ht="30" customHeight="1">
      <c r="A65" s="6" t="inlineStr">
        <is>
          <t>SC-X1-S14</t>
        </is>
      </c>
      <c r="B65" s="6" t="inlineStr">
        <is>
          <t>S14</t>
        </is>
      </c>
      <c r="C65" s="6" t="inlineStr">
        <is>
          <t>Pedestrian</t>
        </is>
      </c>
      <c r="D65" s="6" t="inlineStr">
        <is>
          <t>Late pedestrian entry</t>
        </is>
      </c>
      <c r="E65" s="6" t="inlineStr">
        <is>
          <t>SC-X1</t>
        </is>
      </c>
      <c r="F65" s="6" t="inlineStr">
        <is>
          <t>DATA REQUIRED FROM MPAJ / SITE SURVEY</t>
        </is>
      </c>
      <c r="G65" s="6" t="inlineStr">
        <is>
          <t>Late pedestrian entry</t>
        </is>
      </c>
      <c r="H65" s="6" t="inlineStr">
        <is>
          <t>WAIT/HOLD until all relevant conflicting movements are proven stopped; extend for slow users</t>
        </is>
      </c>
      <c r="I65" s="6" t="inlineStr">
        <is>
          <t>Layout-specific approach/turning path; exact coordinates require simulation geometry</t>
        </is>
      </c>
      <c r="J65" s="6" t="inlineStr">
        <is>
          <t>Vehicle RED before WALK; WAIT on uncertainty/failure</t>
        </is>
      </c>
      <c r="K65" s="6" t="inlineStr">
        <is>
          <t>Sensor fusion with confidence threshold</t>
        </is>
      </c>
      <c r="L65" s="6" t="inlineStr">
        <is>
          <t>SC-X1 conflict zone - survey/simulation required</t>
        </is>
      </c>
      <c r="M65" s="6" t="inlineStr">
        <is>
          <t>Adapt detection and conflict mapping to SC-X1 legs; no change to STOP-before-WALK</t>
        </is>
      </c>
      <c r="N65" s="6" t="inlineStr">
        <is>
          <t>Pedestrian protected or held; event logged; human review for violation/emergency</t>
        </is>
      </c>
      <c r="O65" s="6" t="inlineStr">
        <is>
          <t>Assert no WALK with any conflicting movement permissive; verify seven stages and final zero speed</t>
        </is>
      </c>
    </row>
    <row r="66" ht="30" customHeight="1">
      <c r="A66" s="6" t="inlineStr">
        <is>
          <t>SC-X1-S15</t>
        </is>
      </c>
      <c r="B66" s="6" t="inlineStr">
        <is>
          <t>S15</t>
        </is>
      </c>
      <c r="C66" s="6" t="inlineStr">
        <is>
          <t>Pedestrian</t>
        </is>
      </c>
      <c r="D66" s="6" t="inlineStr">
        <is>
          <t>Slow or mobility-impaired pedestrian</t>
        </is>
      </c>
      <c r="E66" s="6" t="inlineStr">
        <is>
          <t>SC-X1</t>
        </is>
      </c>
      <c r="F66" s="6" t="inlineStr">
        <is>
          <t>DATA REQUIRED FROM MPAJ / SITE SURVEY</t>
        </is>
      </c>
      <c r="G66" s="6" t="inlineStr">
        <is>
          <t>Slow or mobility-impaired pedestrian</t>
        </is>
      </c>
      <c r="H66" s="6" t="inlineStr">
        <is>
          <t>WAIT/HOLD until all relevant conflicting movements are proven stopped; extend for slow users</t>
        </is>
      </c>
      <c r="I66" s="6" t="inlineStr">
        <is>
          <t>Layout-specific approach/turning path; exact coordinates require simulation geometry</t>
        </is>
      </c>
      <c r="J66" s="6" t="inlineStr">
        <is>
          <t>Vehicle RED before WALK; WAIT on uncertainty/failure</t>
        </is>
      </c>
      <c r="K66" s="6" t="inlineStr">
        <is>
          <t>Sensor fusion with confidence threshold</t>
        </is>
      </c>
      <c r="L66" s="6" t="inlineStr">
        <is>
          <t>SC-X1 conflict zone - survey/simulation required</t>
        </is>
      </c>
      <c r="M66" s="6" t="inlineStr">
        <is>
          <t>Adapt detection and conflict mapping to SC-X1 legs; no change to STOP-before-WALK</t>
        </is>
      </c>
      <c r="N66" s="6" t="inlineStr">
        <is>
          <t>Pedestrian protected or held; event logged; human review for violation/emergency</t>
        </is>
      </c>
      <c r="O66" s="6" t="inlineStr">
        <is>
          <t>Assert no WALK with any conflicting movement permissive; verify seven stages and final zero speed</t>
        </is>
      </c>
    </row>
    <row r="67" ht="30" customHeight="1">
      <c r="A67" s="6" t="inlineStr">
        <is>
          <t>SC-X1-S16</t>
        </is>
      </c>
      <c r="B67" s="6" t="inlineStr">
        <is>
          <t>S16</t>
        </is>
      </c>
      <c r="C67" s="6" t="inlineStr">
        <is>
          <t>School</t>
        </is>
      </c>
      <c r="D67" s="6" t="inlineStr">
        <is>
          <t>Child running into crossing</t>
        </is>
      </c>
      <c r="E67" s="6" t="inlineStr">
        <is>
          <t>SC-X1</t>
        </is>
      </c>
      <c r="F67" s="6" t="inlineStr">
        <is>
          <t>DATA REQUIRED FROM MPAJ / SITE SURVEY</t>
        </is>
      </c>
      <c r="G67" s="6" t="inlineStr">
        <is>
          <t>Child running into crossing</t>
        </is>
      </c>
      <c r="H67" s="6" t="inlineStr">
        <is>
          <t>WAIT/HOLD until all relevant conflicting movements are proven stopped; extend for slow users</t>
        </is>
      </c>
      <c r="I67" s="6" t="inlineStr">
        <is>
          <t>Layout-specific approach/turning path; exact coordinates require simulation geometry</t>
        </is>
      </c>
      <c r="J67" s="6" t="inlineStr">
        <is>
          <t>Vehicle RED before WALK; WAIT on uncertainty/failure</t>
        </is>
      </c>
      <c r="K67" s="6" t="inlineStr">
        <is>
          <t>Sensor fusion with confidence threshold</t>
        </is>
      </c>
      <c r="L67" s="6" t="inlineStr">
        <is>
          <t>SC-X1 conflict zone - survey/simulation required</t>
        </is>
      </c>
      <c r="M67" s="6" t="inlineStr">
        <is>
          <t>Adapt detection and conflict mapping to SC-X1 legs; no change to STOP-before-WALK</t>
        </is>
      </c>
      <c r="N67" s="6" t="inlineStr">
        <is>
          <t>Pedestrian protected or held; event logged; human review for violation/emergency</t>
        </is>
      </c>
      <c r="O67" s="6" t="inlineStr">
        <is>
          <t>Assert no WALK with any conflicting movement permissive; verify seven stages and final zero speed</t>
        </is>
      </c>
    </row>
    <row r="68" ht="30" customHeight="1">
      <c r="A68" s="6" t="inlineStr">
        <is>
          <t>SC-X1-S17</t>
        </is>
      </c>
      <c r="B68" s="6" t="inlineStr">
        <is>
          <t>S17</t>
        </is>
      </c>
      <c r="C68" s="6" t="inlineStr">
        <is>
          <t>School</t>
        </is>
      </c>
      <c r="D68" s="6" t="inlineStr">
        <is>
          <t>Group of schoolchildren</t>
        </is>
      </c>
      <c r="E68" s="6" t="inlineStr">
        <is>
          <t>SC-X1</t>
        </is>
      </c>
      <c r="F68" s="6" t="inlineStr">
        <is>
          <t>DATA REQUIRED FROM MPAJ / SITE SURVEY</t>
        </is>
      </c>
      <c r="G68" s="6" t="inlineStr">
        <is>
          <t>Group of schoolchildren</t>
        </is>
      </c>
      <c r="H68" s="6" t="inlineStr">
        <is>
          <t>WAIT/HOLD until all relevant conflicting movements are proven stopped; extend for slow users</t>
        </is>
      </c>
      <c r="I68" s="6" t="inlineStr">
        <is>
          <t>Layout-specific approach/turning path; exact coordinates require simulation geometry</t>
        </is>
      </c>
      <c r="J68" s="6" t="inlineStr">
        <is>
          <t>Vehicle RED before WALK; WAIT on uncertainty/failure</t>
        </is>
      </c>
      <c r="K68" s="6" t="inlineStr">
        <is>
          <t>Sensor fusion with confidence threshold</t>
        </is>
      </c>
      <c r="L68" s="6" t="inlineStr">
        <is>
          <t>SC-X1 conflict zone - survey/simulation required</t>
        </is>
      </c>
      <c r="M68" s="6" t="inlineStr">
        <is>
          <t>Adapt detection and conflict mapping to SC-X1 legs; no change to STOP-before-WALK</t>
        </is>
      </c>
      <c r="N68" s="6" t="inlineStr">
        <is>
          <t>Pedestrian protected or held; event logged; human review for violation/emergency</t>
        </is>
      </c>
      <c r="O68" s="6" t="inlineStr">
        <is>
          <t>Assert no WALK with any conflicting movement permissive; verify seven stages and final zero speed</t>
        </is>
      </c>
    </row>
    <row r="69" ht="30" customHeight="1">
      <c r="A69" s="6" t="inlineStr">
        <is>
          <t>SC-X1-S18</t>
        </is>
      </c>
      <c r="B69" s="6" t="inlineStr">
        <is>
          <t>S18</t>
        </is>
      </c>
      <c r="C69" s="6" t="inlineStr">
        <is>
          <t>Occlusion</t>
        </is>
      </c>
      <c r="D69" s="6" t="inlineStr">
        <is>
          <t>Bus/heavy vehicle blocks camera</t>
        </is>
      </c>
      <c r="E69" s="6" t="inlineStr">
        <is>
          <t>SC-X1</t>
        </is>
      </c>
      <c r="F69" s="6" t="inlineStr">
        <is>
          <t>DATA REQUIRED FROM MPAJ / SITE SURVEY</t>
        </is>
      </c>
      <c r="G69" s="6" t="inlineStr">
        <is>
          <t>Bus/heavy vehicle blocks camera</t>
        </is>
      </c>
      <c r="H69" s="6" t="inlineStr">
        <is>
          <t>WAIT/HOLD until all relevant conflicting movements are proven stopped; extend for slow users</t>
        </is>
      </c>
      <c r="I69" s="6" t="inlineStr">
        <is>
          <t>Layout-specific approach/turning path; exact coordinates require simulation geometry</t>
        </is>
      </c>
      <c r="J69" s="6" t="inlineStr">
        <is>
          <t>Vehicle RED before WALK; WAIT on uncertainty/failure</t>
        </is>
      </c>
      <c r="K69" s="6" t="inlineStr">
        <is>
          <t>Sensor fusion with confidence threshold</t>
        </is>
      </c>
      <c r="L69" s="6" t="inlineStr">
        <is>
          <t>SC-X1 conflict zone - survey/simulation required</t>
        </is>
      </c>
      <c r="M69" s="6" t="inlineStr">
        <is>
          <t>Adapt detection and conflict mapping to SC-X1 legs; no change to STOP-before-WALK</t>
        </is>
      </c>
      <c r="N69" s="6" t="inlineStr">
        <is>
          <t>Pedestrian protected or held; event logged; human review for violation/emergency</t>
        </is>
      </c>
      <c r="O69" s="6" t="inlineStr">
        <is>
          <t>Assert no WALK with any conflicting movement permissive; verify seven stages and final zero speed</t>
        </is>
      </c>
    </row>
    <row r="70" ht="30" customHeight="1">
      <c r="A70" s="6" t="inlineStr">
        <is>
          <t>SC-X1-S19</t>
        </is>
      </c>
      <c r="B70" s="6" t="inlineStr">
        <is>
          <t>S19</t>
        </is>
      </c>
      <c r="C70" s="6" t="inlineStr">
        <is>
          <t>Failure</t>
        </is>
      </c>
      <c r="D70" s="6" t="inlineStr">
        <is>
          <t>Sensor false positive</t>
        </is>
      </c>
      <c r="E70" s="6" t="inlineStr">
        <is>
          <t>SC-X1</t>
        </is>
      </c>
      <c r="F70" s="6" t="inlineStr">
        <is>
          <t>DATA REQUIRED FROM MPAJ / SITE SURVEY</t>
        </is>
      </c>
      <c r="G70" s="6" t="inlineStr">
        <is>
          <t>Sensor false positive</t>
        </is>
      </c>
      <c r="H70" s="6" t="inlineStr">
        <is>
          <t>WAIT/HOLD until all relevant conflicting movements are proven stopped; extend for slow users</t>
        </is>
      </c>
      <c r="I70" s="6" t="inlineStr">
        <is>
          <t>Layout-specific approach/turning path; exact coordinates require simulation geometry</t>
        </is>
      </c>
      <c r="J70" s="6" t="inlineStr">
        <is>
          <t>Vehicle RED before WALK; WAIT on uncertainty/failure</t>
        </is>
      </c>
      <c r="K70" s="6" t="inlineStr">
        <is>
          <t>Sensor fusion with confidence threshold</t>
        </is>
      </c>
      <c r="L70" s="6" t="inlineStr">
        <is>
          <t>SC-X1 conflict zone - survey/simulation required</t>
        </is>
      </c>
      <c r="M70" s="6" t="inlineStr">
        <is>
          <t>Adapt detection and conflict mapping to SC-X1 legs; no change to STOP-before-WALK</t>
        </is>
      </c>
      <c r="N70" s="6" t="inlineStr">
        <is>
          <t>Pedestrian protected or held; event logged; human review for violation/emergency</t>
        </is>
      </c>
      <c r="O70" s="6" t="inlineStr">
        <is>
          <t>Assert no WALK with any conflicting movement permissive; verify seven stages and final zero speed</t>
        </is>
      </c>
    </row>
    <row r="71" ht="30" customHeight="1">
      <c r="A71" s="6" t="inlineStr">
        <is>
          <t>SC-X1-S20</t>
        </is>
      </c>
      <c r="B71" s="6" t="inlineStr">
        <is>
          <t>S20</t>
        </is>
      </c>
      <c r="C71" s="6" t="inlineStr">
        <is>
          <t>Failure</t>
        </is>
      </c>
      <c r="D71" s="6" t="inlineStr">
        <is>
          <t>Sensor false negative</t>
        </is>
      </c>
      <c r="E71" s="6" t="inlineStr">
        <is>
          <t>SC-X1</t>
        </is>
      </c>
      <c r="F71" s="6" t="inlineStr">
        <is>
          <t>DATA REQUIRED FROM MPAJ / SITE SURVEY</t>
        </is>
      </c>
      <c r="G71" s="6" t="inlineStr">
        <is>
          <t>Sensor false negative</t>
        </is>
      </c>
      <c r="H71" s="6" t="inlineStr">
        <is>
          <t>WAIT/HOLD until all relevant conflicting movements are proven stopped; extend for slow users</t>
        </is>
      </c>
      <c r="I71" s="6" t="inlineStr">
        <is>
          <t>Layout-specific approach/turning path; exact coordinates require simulation geometry</t>
        </is>
      </c>
      <c r="J71" s="6" t="inlineStr">
        <is>
          <t>Vehicle RED before WALK; WAIT on uncertainty/failure</t>
        </is>
      </c>
      <c r="K71" s="6" t="inlineStr">
        <is>
          <t>Sensor fusion with confidence threshold</t>
        </is>
      </c>
      <c r="L71" s="6" t="inlineStr">
        <is>
          <t>SC-X1 conflict zone - survey/simulation required</t>
        </is>
      </c>
      <c r="M71" s="6" t="inlineStr">
        <is>
          <t>Adapt detection and conflict mapping to SC-X1 legs; no change to STOP-before-WALK</t>
        </is>
      </c>
      <c r="N71" s="6" t="inlineStr">
        <is>
          <t>Pedestrian protected or held; event logged; human review for violation/emergency</t>
        </is>
      </c>
      <c r="O71" s="6" t="inlineStr">
        <is>
          <t>Assert no WALK with any conflicting movement permissive; verify seven stages and final zero speed</t>
        </is>
      </c>
    </row>
    <row r="72" ht="30" customHeight="1">
      <c r="A72" s="6" t="inlineStr">
        <is>
          <t>SC-X1-S21</t>
        </is>
      </c>
      <c r="B72" s="6" t="inlineStr">
        <is>
          <t>S21</t>
        </is>
      </c>
      <c r="C72" s="6" t="inlineStr">
        <is>
          <t>Failure</t>
        </is>
      </c>
      <c r="D72" s="6" t="inlineStr">
        <is>
          <t>Signal-controller fault</t>
        </is>
      </c>
      <c r="E72" s="6" t="inlineStr">
        <is>
          <t>SC-X1</t>
        </is>
      </c>
      <c r="F72" s="6" t="inlineStr">
        <is>
          <t>DATA REQUIRED FROM MPAJ / SITE SURVEY</t>
        </is>
      </c>
      <c r="G72" s="6" t="inlineStr">
        <is>
          <t>Signal-controller fault</t>
        </is>
      </c>
      <c r="H72" s="6" t="inlineStr">
        <is>
          <t>WAIT/HOLD until all relevant conflicting movements are proven stopped; extend for slow users</t>
        </is>
      </c>
      <c r="I72" s="6" t="inlineStr">
        <is>
          <t>Layout-specific approach/turning path; exact coordinates require simulation geometry</t>
        </is>
      </c>
      <c r="J72" s="6" t="inlineStr">
        <is>
          <t>Vehicle RED before WALK; WAIT on uncertainty/failure</t>
        </is>
      </c>
      <c r="K72" s="6" t="inlineStr">
        <is>
          <t>Sensor fusion with confidence threshold</t>
        </is>
      </c>
      <c r="L72" s="6" t="inlineStr">
        <is>
          <t>SC-X1 conflict zone - survey/simulation required</t>
        </is>
      </c>
      <c r="M72" s="6" t="inlineStr">
        <is>
          <t>Adapt detection and conflict mapping to SC-X1 legs; no change to STOP-before-WALK</t>
        </is>
      </c>
      <c r="N72" s="6" t="inlineStr">
        <is>
          <t>Pedestrian protected or held; event logged; human review for violation/emergency</t>
        </is>
      </c>
      <c r="O72" s="6" t="inlineStr">
        <is>
          <t>Assert no WALK with any conflicting movement permissive; verify seven stages and final zero speed</t>
        </is>
      </c>
    </row>
    <row r="73" ht="30" customHeight="1">
      <c r="A73" s="6" t="inlineStr">
        <is>
          <t>SC-X1-S22</t>
        </is>
      </c>
      <c r="B73" s="6" t="inlineStr">
        <is>
          <t>S22</t>
        </is>
      </c>
      <c r="C73" s="6" t="inlineStr">
        <is>
          <t>Failure</t>
        </is>
      </c>
      <c r="D73" s="6" t="inlineStr">
        <is>
          <t>Power or communications failure</t>
        </is>
      </c>
      <c r="E73" s="6" t="inlineStr">
        <is>
          <t>SC-X1</t>
        </is>
      </c>
      <c r="F73" s="6" t="inlineStr">
        <is>
          <t>DATA REQUIRED FROM MPAJ / SITE SURVEY</t>
        </is>
      </c>
      <c r="G73" s="6" t="inlineStr">
        <is>
          <t>Power or communications failure</t>
        </is>
      </c>
      <c r="H73" s="6" t="inlineStr">
        <is>
          <t>WAIT/HOLD until all relevant conflicting movements are proven stopped; extend for slow users</t>
        </is>
      </c>
      <c r="I73" s="6" t="inlineStr">
        <is>
          <t>Layout-specific approach/turning path; exact coordinates require simulation geometry</t>
        </is>
      </c>
      <c r="J73" s="6" t="inlineStr">
        <is>
          <t>Vehicle RED before WALK; WAIT on uncertainty/failure</t>
        </is>
      </c>
      <c r="K73" s="6" t="inlineStr">
        <is>
          <t>Sensor fusion with confidence threshold</t>
        </is>
      </c>
      <c r="L73" s="6" t="inlineStr">
        <is>
          <t>SC-X1 conflict zone - survey/simulation required</t>
        </is>
      </c>
      <c r="M73" s="6" t="inlineStr">
        <is>
          <t>Adapt detection and conflict mapping to SC-X1 legs; no change to STOP-before-WALK</t>
        </is>
      </c>
      <c r="N73" s="6" t="inlineStr">
        <is>
          <t>Pedestrian protected or held; event logged; human review for violation/emergency</t>
        </is>
      </c>
      <c r="O73" s="6" t="inlineStr">
        <is>
          <t>Assert no WALK with any conflicting movement permissive; verify seven stages and final zero speed</t>
        </is>
      </c>
    </row>
    <row r="74" ht="30" customHeight="1">
      <c r="A74" s="6" t="inlineStr">
        <is>
          <t>SC-X1-S23</t>
        </is>
      </c>
      <c r="B74" s="6" t="inlineStr">
        <is>
          <t>S23</t>
        </is>
      </c>
      <c r="C74" s="6" t="inlineStr">
        <is>
          <t>Emergency</t>
        </is>
      </c>
      <c r="D74" s="6" t="inlineStr">
        <is>
          <t>Collision or life-threatening incident</t>
        </is>
      </c>
      <c r="E74" s="6" t="inlineStr">
        <is>
          <t>SC-X1</t>
        </is>
      </c>
      <c r="F74" s="6" t="inlineStr">
        <is>
          <t>DATA REQUIRED FROM MPAJ / SITE SURVEY</t>
        </is>
      </c>
      <c r="G74" s="6" t="inlineStr">
        <is>
          <t>Collision or life-threatening incident</t>
        </is>
      </c>
      <c r="H74" s="6" t="inlineStr">
        <is>
          <t>WAIT/HOLD until all relevant conflicting movements are proven stopped; extend for slow users</t>
        </is>
      </c>
      <c r="I74" s="6" t="inlineStr">
        <is>
          <t>Layout-specific approach/turning path; exact coordinates require simulation geometry</t>
        </is>
      </c>
      <c r="J74" s="6" t="inlineStr">
        <is>
          <t>Vehicle RED before WALK; WAIT on uncertainty/failure</t>
        </is>
      </c>
      <c r="K74" s="6" t="inlineStr">
        <is>
          <t>Sensor fusion with confidence threshold</t>
        </is>
      </c>
      <c r="L74" s="6" t="inlineStr">
        <is>
          <t>SC-X1 conflict zone - survey/simulation required</t>
        </is>
      </c>
      <c r="M74" s="6" t="inlineStr">
        <is>
          <t>Adapt detection and conflict mapping to SC-X1 legs; no change to STOP-before-WALK</t>
        </is>
      </c>
      <c r="N74" s="6" t="inlineStr">
        <is>
          <t>Pedestrian protected or held; event logged; human review for violation/emergency</t>
        </is>
      </c>
      <c r="O74" s="6" t="inlineStr">
        <is>
          <t>Assert no WALK with any conflicting movement permissive; verify seven stages and final zero speed</t>
        </is>
      </c>
    </row>
    <row r="75" ht="30" customHeight="1">
      <c r="A75" s="6" t="inlineStr">
        <is>
          <t>SC-X1-S24</t>
        </is>
      </c>
      <c r="B75" s="6" t="inlineStr">
        <is>
          <t>S24</t>
        </is>
      </c>
      <c r="C75" s="6" t="inlineStr">
        <is>
          <t>Emergency</t>
        </is>
      </c>
      <c r="D75" s="6" t="inlineStr">
        <is>
          <t>Emergency-vehicle approach</t>
        </is>
      </c>
      <c r="E75" s="6" t="inlineStr">
        <is>
          <t>SC-X1</t>
        </is>
      </c>
      <c r="F75" s="6" t="inlineStr">
        <is>
          <t>DATA REQUIRED FROM MPAJ / SITE SURVEY</t>
        </is>
      </c>
      <c r="G75" s="6" t="inlineStr">
        <is>
          <t>Emergency-vehicle approach</t>
        </is>
      </c>
      <c r="H75" s="6" t="inlineStr">
        <is>
          <t>WAIT/HOLD until all relevant conflicting movements are proven stopped; extend for slow users</t>
        </is>
      </c>
      <c r="I75" s="6" t="inlineStr">
        <is>
          <t>Layout-specific approach/turning path; exact coordinates require simulation geometry</t>
        </is>
      </c>
      <c r="J75" s="6" t="inlineStr">
        <is>
          <t>Vehicle RED before WALK; WAIT on uncertainty/failure</t>
        </is>
      </c>
      <c r="K75" s="6" t="inlineStr">
        <is>
          <t>Sensor fusion with confidence threshold</t>
        </is>
      </c>
      <c r="L75" s="6" t="inlineStr">
        <is>
          <t>SC-X1 conflict zone - survey/simulation required</t>
        </is>
      </c>
      <c r="M75" s="6" t="inlineStr">
        <is>
          <t>Adapt detection and conflict mapping to SC-X1 legs; no change to STOP-before-WALK</t>
        </is>
      </c>
      <c r="N75" s="6" t="inlineStr">
        <is>
          <t>Pedestrian protected or held; event logged; human review for violation/emergency</t>
        </is>
      </c>
      <c r="O75" s="6" t="inlineStr">
        <is>
          <t>Assert no WALK with any conflicting movement permissive; verify seven stages and final zero speed</t>
        </is>
      </c>
    </row>
  </sheetData>
  <mergeCells count="2">
    <mergeCell ref="A1:O1"/>
    <mergeCell ref="A2:O2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7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9" customWidth="1" min="3" max="3"/>
    <col width="31" customWidth="1" min="4" max="4"/>
    <col width="31" customWidth="1" min="5" max="5"/>
    <col width="32" customWidth="1" min="6" max="6"/>
    <col width="34" customWidth="1" min="7" max="7"/>
    <col width="38" customWidth="1" min="8" max="8"/>
    <col width="43" customWidth="1" min="9" max="9"/>
    <col width="34" customWidth="1" min="10" max="10"/>
    <col width="42" customWidth="1" min="11" max="11"/>
  </cols>
  <sheetData>
    <row r="1" ht="34" customHeight="1">
      <c r="A1" s="1" t="inlineStr">
        <is>
          <t>Seven-Stage Timeline Mapping</t>
        </is>
      </c>
    </row>
    <row r="2" ht="30" customHeight="1">
      <c r="A2" s="2" t="inlineStr">
        <is>
          <t>Traceable adaptation of every scenario to the existing seven-stage vocabulary.</t>
        </is>
      </c>
    </row>
    <row r="3" ht="32" customHeight="1">
      <c r="A3" s="5" t="inlineStr">
        <is>
          <t>Scenario key</t>
        </is>
      </c>
      <c r="B3" s="5" t="inlineStr">
        <is>
          <t>Configuration</t>
        </is>
      </c>
      <c r="C3" s="5" t="inlineStr">
        <is>
          <t>Scenario</t>
        </is>
      </c>
      <c r="D3" s="5" t="inlineStr">
        <is>
          <t>Approach</t>
        </is>
      </c>
      <c r="E3" s="5" t="inlineStr">
        <is>
          <t>Initiation</t>
        </is>
      </c>
      <c r="F3" s="5" t="inlineStr">
        <is>
          <t>Detected</t>
        </is>
      </c>
      <c r="G3" s="5" t="inlineStr">
        <is>
          <t>Escalation</t>
        </is>
      </c>
      <c r="H3" s="5" t="inlineStr">
        <is>
          <t>Conflict</t>
        </is>
      </c>
      <c r="I3" s="5" t="inlineStr">
        <is>
          <t>Response</t>
        </is>
      </c>
      <c r="J3" s="5" t="inlineStr">
        <is>
          <t>Outcome</t>
        </is>
      </c>
      <c r="K3" s="5" t="inlineStr">
        <is>
          <t>Adaptation note</t>
        </is>
      </c>
    </row>
    <row r="4" ht="30" customHeight="1">
      <c r="A4" s="6" t="inlineStr">
        <is>
          <t>SC-B0-S01</t>
        </is>
      </c>
      <c r="B4" s="6" t="inlineStr">
        <is>
          <t>SC-B0</t>
        </is>
      </c>
      <c r="C4" s="6" t="inlineStr">
        <is>
          <t>Protected pedestrian request</t>
        </is>
      </c>
      <c r="D4" s="6" t="inlineStr">
        <is>
          <t>Actors enter monitored approaches</t>
        </is>
      </c>
      <c r="E4" s="6" t="inlineStr">
        <is>
          <t>Demand or abnormal movement begins</t>
        </is>
      </c>
      <c r="F4" s="6" t="inlineStr">
        <is>
          <t>Protected pedestrian request indication is correlated</t>
        </is>
      </c>
      <c r="G4" s="6" t="inlineStr">
        <is>
          <t>Risk state raised; WALK remains gated</t>
        </is>
      </c>
      <c r="H4" s="6" t="inlineStr">
        <is>
          <t>Layout-specific path convergence is evaluated</t>
        </is>
      </c>
      <c r="I4" s="6" t="inlineStr">
        <is>
          <t>STOP/HOLD or protected WALK after clearance</t>
        </is>
      </c>
      <c r="J4" s="6" t="inlineStr">
        <is>
          <t>Safe state and auditable record</t>
        </is>
      </c>
      <c r="K4" s="6" t="inlineStr">
        <is>
          <t>SC-B0 vocabulary preserved; junction legs added for T1/X1</t>
        </is>
      </c>
    </row>
    <row r="5" ht="30" customHeight="1">
      <c r="A5" s="6" t="inlineStr">
        <is>
          <t>SC-B0-S02</t>
        </is>
      </c>
      <c r="B5" s="6" t="inlineStr">
        <is>
          <t>SC-B0</t>
        </is>
      </c>
      <c r="C5" s="6" t="inlineStr">
        <is>
          <t>Left-turn conflict</t>
        </is>
      </c>
      <c r="D5" s="6" t="inlineStr">
        <is>
          <t>Actors enter monitored approaches</t>
        </is>
      </c>
      <c r="E5" s="6" t="inlineStr">
        <is>
          <t>Demand or abnormal movement begins</t>
        </is>
      </c>
      <c r="F5" s="6" t="inlineStr">
        <is>
          <t>Left-turn conflict indication is correlated</t>
        </is>
      </c>
      <c r="G5" s="6" t="inlineStr">
        <is>
          <t>Risk state raised; WALK remains gated</t>
        </is>
      </c>
      <c r="H5" s="6" t="inlineStr">
        <is>
          <t>Layout-specific path convergence is evaluated</t>
        </is>
      </c>
      <c r="I5" s="6" t="inlineStr">
        <is>
          <t>STOP/HOLD or protected WALK after clearance</t>
        </is>
      </c>
      <c r="J5" s="6" t="inlineStr">
        <is>
          <t>Safe state and auditable record</t>
        </is>
      </c>
      <c r="K5" s="6" t="inlineStr">
        <is>
          <t>SC-B0 vocabulary preserved; junction legs added for T1/X1</t>
        </is>
      </c>
    </row>
    <row r="6" ht="30" customHeight="1">
      <c r="A6" s="6" t="inlineStr">
        <is>
          <t>SC-B0-S03</t>
        </is>
      </c>
      <c r="B6" s="6" t="inlineStr">
        <is>
          <t>SC-B0</t>
        </is>
      </c>
      <c r="C6" s="6" t="inlineStr">
        <is>
          <t>Right-turn conflict</t>
        </is>
      </c>
      <c r="D6" s="6" t="inlineStr">
        <is>
          <t>Actors enter monitored approaches</t>
        </is>
      </c>
      <c r="E6" s="6" t="inlineStr">
        <is>
          <t>Demand or abnormal movement begins</t>
        </is>
      </c>
      <c r="F6" s="6" t="inlineStr">
        <is>
          <t>Right-turn conflict indication is correlated</t>
        </is>
      </c>
      <c r="G6" s="6" t="inlineStr">
        <is>
          <t>Risk state raised; WALK remains gated</t>
        </is>
      </c>
      <c r="H6" s="6" t="inlineStr">
        <is>
          <t>Layout-specific path convergence is evaluated</t>
        </is>
      </c>
      <c r="I6" s="6" t="inlineStr">
        <is>
          <t>STOP/HOLD or protected WALK after clearance</t>
        </is>
      </c>
      <c r="J6" s="6" t="inlineStr">
        <is>
          <t>Safe state and auditable record</t>
        </is>
      </c>
      <c r="K6" s="6" t="inlineStr">
        <is>
          <t>SC-B0 vocabulary preserved; junction legs added for T1/X1</t>
        </is>
      </c>
    </row>
    <row r="7" ht="30" customHeight="1">
      <c r="A7" s="6" t="inlineStr">
        <is>
          <t>SC-B0-S04</t>
        </is>
      </c>
      <c r="B7" s="6" t="inlineStr">
        <is>
          <t>SC-B0</t>
        </is>
      </c>
      <c r="C7" s="6" t="inlineStr">
        <is>
          <t>Through-vehicle conflict</t>
        </is>
      </c>
      <c r="D7" s="6" t="inlineStr">
        <is>
          <t>Actors enter monitored approaches</t>
        </is>
      </c>
      <c r="E7" s="6" t="inlineStr">
        <is>
          <t>Demand or abnormal movement begins</t>
        </is>
      </c>
      <c r="F7" s="6" t="inlineStr">
        <is>
          <t>Through-vehicle conflict indication is correlated</t>
        </is>
      </c>
      <c r="G7" s="6" t="inlineStr">
        <is>
          <t>Risk state raised; WALK remains gated</t>
        </is>
      </c>
      <c r="H7" s="6" t="inlineStr">
        <is>
          <t>Layout-specific path convergence is evaluated</t>
        </is>
      </c>
      <c r="I7" s="6" t="inlineStr">
        <is>
          <t>STOP/HOLD or protected WALK after clearance</t>
        </is>
      </c>
      <c r="J7" s="6" t="inlineStr">
        <is>
          <t>Safe state and auditable record</t>
        </is>
      </c>
      <c r="K7" s="6" t="inlineStr">
        <is>
          <t>SC-B0 vocabulary preserved; junction legs added for T1/X1</t>
        </is>
      </c>
    </row>
    <row r="8" ht="30" customHeight="1">
      <c r="A8" s="6" t="inlineStr">
        <is>
          <t>SC-B0-S05</t>
        </is>
      </c>
      <c r="B8" s="6" t="inlineStr">
        <is>
          <t>SC-B0</t>
        </is>
      </c>
      <c r="C8" s="6" t="inlineStr">
        <is>
          <t>Red-light violation</t>
        </is>
      </c>
      <c r="D8" s="6" t="inlineStr">
        <is>
          <t>Actors enter monitored approaches</t>
        </is>
      </c>
      <c r="E8" s="6" t="inlineStr">
        <is>
          <t>Demand or abnormal movement begins</t>
        </is>
      </c>
      <c r="F8" s="6" t="inlineStr">
        <is>
          <t>Red-light violation indication is correlated</t>
        </is>
      </c>
      <c r="G8" s="6" t="inlineStr">
        <is>
          <t>Risk state raised; WALK remains gated</t>
        </is>
      </c>
      <c r="H8" s="6" t="inlineStr">
        <is>
          <t>Layout-specific path convergence is evaluated</t>
        </is>
      </c>
      <c r="I8" s="6" t="inlineStr">
        <is>
          <t>STOP/HOLD or protected WALK after clearance</t>
        </is>
      </c>
      <c r="J8" s="6" t="inlineStr">
        <is>
          <t>Safe state and auditable record</t>
        </is>
      </c>
      <c r="K8" s="6" t="inlineStr">
        <is>
          <t>SC-B0 vocabulary preserved; junction legs added for T1/X1</t>
        </is>
      </c>
    </row>
    <row r="9" ht="30" customHeight="1">
      <c r="A9" s="6" t="inlineStr">
        <is>
          <t>SC-B0-S06</t>
        </is>
      </c>
      <c r="B9" s="6" t="inlineStr">
        <is>
          <t>SC-B0</t>
        </is>
      </c>
      <c r="C9" s="6" t="inlineStr">
        <is>
          <t>Speeding approach</t>
        </is>
      </c>
      <c r="D9" s="6" t="inlineStr">
        <is>
          <t>Actors enter monitored approaches</t>
        </is>
      </c>
      <c r="E9" s="6" t="inlineStr">
        <is>
          <t>Demand or abnormal movement begins</t>
        </is>
      </c>
      <c r="F9" s="6" t="inlineStr">
        <is>
          <t>Speeding approach indication is correlated</t>
        </is>
      </c>
      <c r="G9" s="6" t="inlineStr">
        <is>
          <t>Risk state raised; WALK remains gated</t>
        </is>
      </c>
      <c r="H9" s="6" t="inlineStr">
        <is>
          <t>Layout-specific path convergence is evaluated</t>
        </is>
      </c>
      <c r="I9" s="6" t="inlineStr">
        <is>
          <t>STOP/HOLD or protected WALK after clearance</t>
        </is>
      </c>
      <c r="J9" s="6" t="inlineStr">
        <is>
          <t>Safe state and auditable record</t>
        </is>
      </c>
      <c r="K9" s="6" t="inlineStr">
        <is>
          <t>SC-B0 vocabulary preserved; junction legs added for T1/X1</t>
        </is>
      </c>
    </row>
    <row r="10" ht="30" customHeight="1">
      <c r="A10" s="6" t="inlineStr">
        <is>
          <t>SC-B0-S07</t>
        </is>
      </c>
      <c r="B10" s="6" t="inlineStr">
        <is>
          <t>SC-B0</t>
        </is>
      </c>
      <c r="C10" s="6" t="inlineStr">
        <is>
          <t>Failure to yield</t>
        </is>
      </c>
      <c r="D10" s="6" t="inlineStr">
        <is>
          <t>Actors enter monitored approaches</t>
        </is>
      </c>
      <c r="E10" s="6" t="inlineStr">
        <is>
          <t>Demand or abnormal movement begins</t>
        </is>
      </c>
      <c r="F10" s="6" t="inlineStr">
        <is>
          <t>Failure to yield indication is correlated</t>
        </is>
      </c>
      <c r="G10" s="6" t="inlineStr">
        <is>
          <t>Risk state raised; WALK remains gated</t>
        </is>
      </c>
      <c r="H10" s="6" t="inlineStr">
        <is>
          <t>Layout-specific path convergence is evaluated</t>
        </is>
      </c>
      <c r="I10" s="6" t="inlineStr">
        <is>
          <t>STOP/HOLD or protected WALK after clearance</t>
        </is>
      </c>
      <c r="J10" s="6" t="inlineStr">
        <is>
          <t>Safe state and auditable record</t>
        </is>
      </c>
      <c r="K10" s="6" t="inlineStr">
        <is>
          <t>SC-B0 vocabulary preserved; junction legs added for T1/X1</t>
        </is>
      </c>
    </row>
    <row r="11" ht="30" customHeight="1">
      <c r="A11" s="6" t="inlineStr">
        <is>
          <t>SC-B0-S08</t>
        </is>
      </c>
      <c r="B11" s="6" t="inlineStr">
        <is>
          <t>SC-B0</t>
        </is>
      </c>
      <c r="C11" s="6" t="inlineStr">
        <is>
          <t>Vehicle stopping over crossing</t>
        </is>
      </c>
      <c r="D11" s="6" t="inlineStr">
        <is>
          <t>Actors enter monitored approaches</t>
        </is>
      </c>
      <c r="E11" s="6" t="inlineStr">
        <is>
          <t>Demand or abnormal movement begins</t>
        </is>
      </c>
      <c r="F11" s="6" t="inlineStr">
        <is>
          <t>Vehicle stopping over crossing indication is correlated</t>
        </is>
      </c>
      <c r="G11" s="6" t="inlineStr">
        <is>
          <t>Risk state raised; WALK remains gated</t>
        </is>
      </c>
      <c r="H11" s="6" t="inlineStr">
        <is>
          <t>Layout-specific path convergence is evaluated</t>
        </is>
      </c>
      <c r="I11" s="6" t="inlineStr">
        <is>
          <t>STOP/HOLD or protected WALK after clearance</t>
        </is>
      </c>
      <c r="J11" s="6" t="inlineStr">
        <is>
          <t>Safe state and auditable record</t>
        </is>
      </c>
      <c r="K11" s="6" t="inlineStr">
        <is>
          <t>SC-B0 vocabulary preserved; junction legs added for T1/X1</t>
        </is>
      </c>
    </row>
    <row r="12" ht="30" customHeight="1">
      <c r="A12" s="6" t="inlineStr">
        <is>
          <t>SC-B0-S09</t>
        </is>
      </c>
      <c r="B12" s="6" t="inlineStr">
        <is>
          <t>SC-B0</t>
        </is>
      </c>
      <c r="C12" s="6" t="inlineStr">
        <is>
          <t>Queue spillback</t>
        </is>
      </c>
      <c r="D12" s="6" t="inlineStr">
        <is>
          <t>Actors enter monitored approaches</t>
        </is>
      </c>
      <c r="E12" s="6" t="inlineStr">
        <is>
          <t>Demand or abnormal movement begins</t>
        </is>
      </c>
      <c r="F12" s="6" t="inlineStr">
        <is>
          <t>Queue spillback indication is correlated</t>
        </is>
      </c>
      <c r="G12" s="6" t="inlineStr">
        <is>
          <t>Risk state raised; WALK remains gated</t>
        </is>
      </c>
      <c r="H12" s="6" t="inlineStr">
        <is>
          <t>Layout-specific path convergence is evaluated</t>
        </is>
      </c>
      <c r="I12" s="6" t="inlineStr">
        <is>
          <t>STOP/HOLD or protected WALK after clearance</t>
        </is>
      </c>
      <c r="J12" s="6" t="inlineStr">
        <is>
          <t>Safe state and auditable record</t>
        </is>
      </c>
      <c r="K12" s="6" t="inlineStr">
        <is>
          <t>SC-B0 vocabulary preserved; junction legs added for T1/X1</t>
        </is>
      </c>
    </row>
    <row r="13" ht="30" customHeight="1">
      <c r="A13" s="6" t="inlineStr">
        <is>
          <t>SC-B0-S10</t>
        </is>
      </c>
      <c r="B13" s="6" t="inlineStr">
        <is>
          <t>SC-B0</t>
        </is>
      </c>
      <c r="C13" s="6" t="inlineStr">
        <is>
          <t>Illegal U-turn</t>
        </is>
      </c>
      <c r="D13" s="6" t="inlineStr">
        <is>
          <t>Actors enter monitored approaches</t>
        </is>
      </c>
      <c r="E13" s="6" t="inlineStr">
        <is>
          <t>Demand or abnormal movement begins</t>
        </is>
      </c>
      <c r="F13" s="6" t="inlineStr">
        <is>
          <t>Illegal U-turn indication is correlated</t>
        </is>
      </c>
      <c r="G13" s="6" t="inlineStr">
        <is>
          <t>Risk state raised; WALK remains gated</t>
        </is>
      </c>
      <c r="H13" s="6" t="inlineStr">
        <is>
          <t>Layout-specific path convergence is evaluated</t>
        </is>
      </c>
      <c r="I13" s="6" t="inlineStr">
        <is>
          <t>STOP/HOLD or protected WALK after clearance</t>
        </is>
      </c>
      <c r="J13" s="6" t="inlineStr">
        <is>
          <t>Safe state and auditable record</t>
        </is>
      </c>
      <c r="K13" s="6" t="inlineStr">
        <is>
          <t>SC-B0 vocabulary preserved; junction legs added for T1/X1</t>
        </is>
      </c>
    </row>
    <row r="14" ht="30" customHeight="1">
      <c r="A14" s="6" t="inlineStr">
        <is>
          <t>SC-B0-S11</t>
        </is>
      </c>
      <c r="B14" s="6" t="inlineStr">
        <is>
          <t>SC-B0</t>
        </is>
      </c>
      <c r="C14" s="6" t="inlineStr">
        <is>
          <t>Motorcycle filtering</t>
        </is>
      </c>
      <c r="D14" s="6" t="inlineStr">
        <is>
          <t>Actors enter monitored approaches</t>
        </is>
      </c>
      <c r="E14" s="6" t="inlineStr">
        <is>
          <t>Demand or abnormal movement begins</t>
        </is>
      </c>
      <c r="F14" s="6" t="inlineStr">
        <is>
          <t>Motorcycle filtering indication is correlated</t>
        </is>
      </c>
      <c r="G14" s="6" t="inlineStr">
        <is>
          <t>Risk state raised; WALK remains gated</t>
        </is>
      </c>
      <c r="H14" s="6" t="inlineStr">
        <is>
          <t>Layout-specific path convergence is evaluated</t>
        </is>
      </c>
      <c r="I14" s="6" t="inlineStr">
        <is>
          <t>STOP/HOLD or protected WALK after clearance</t>
        </is>
      </c>
      <c r="J14" s="6" t="inlineStr">
        <is>
          <t>Safe state and auditable record</t>
        </is>
      </c>
      <c r="K14" s="6" t="inlineStr">
        <is>
          <t>SC-B0 vocabulary preserved; junction legs added for T1/X1</t>
        </is>
      </c>
    </row>
    <row r="15" ht="30" customHeight="1">
      <c r="A15" s="6" t="inlineStr">
        <is>
          <t>SC-B0-S12</t>
        </is>
      </c>
      <c r="B15" s="6" t="inlineStr">
        <is>
          <t>SC-B0</t>
        </is>
      </c>
      <c r="C15" s="6" t="inlineStr">
        <is>
          <t>Overtaking near crossing</t>
        </is>
      </c>
      <c r="D15" s="6" t="inlineStr">
        <is>
          <t>Actors enter monitored approaches</t>
        </is>
      </c>
      <c r="E15" s="6" t="inlineStr">
        <is>
          <t>Demand or abnormal movement begins</t>
        </is>
      </c>
      <c r="F15" s="6" t="inlineStr">
        <is>
          <t>Overtaking near crossing indication is correlated</t>
        </is>
      </c>
      <c r="G15" s="6" t="inlineStr">
        <is>
          <t>Risk state raised; WALK remains gated</t>
        </is>
      </c>
      <c r="H15" s="6" t="inlineStr">
        <is>
          <t>Layout-specific path convergence is evaluated</t>
        </is>
      </c>
      <c r="I15" s="6" t="inlineStr">
        <is>
          <t>STOP/HOLD or protected WALK after clearance</t>
        </is>
      </c>
      <c r="J15" s="6" t="inlineStr">
        <is>
          <t>Safe state and auditable record</t>
        </is>
      </c>
      <c r="K15" s="6" t="inlineStr">
        <is>
          <t>SC-B0 vocabulary preserved; junction legs added for T1/X1</t>
        </is>
      </c>
    </row>
    <row r="16" ht="30" customHeight="1">
      <c r="A16" s="6" t="inlineStr">
        <is>
          <t>SC-B0-S13</t>
        </is>
      </c>
      <c r="B16" s="6" t="inlineStr">
        <is>
          <t>SC-B0</t>
        </is>
      </c>
      <c r="C16" s="6" t="inlineStr">
        <is>
          <t>Pedestrian enters during WAIT</t>
        </is>
      </c>
      <c r="D16" s="6" t="inlineStr">
        <is>
          <t>Actors enter monitored approaches</t>
        </is>
      </c>
      <c r="E16" s="6" t="inlineStr">
        <is>
          <t>Demand or abnormal movement begins</t>
        </is>
      </c>
      <c r="F16" s="6" t="inlineStr">
        <is>
          <t>Pedestrian enters during WAIT indication is correlated</t>
        </is>
      </c>
      <c r="G16" s="6" t="inlineStr">
        <is>
          <t>Risk state raised; WALK remains gated</t>
        </is>
      </c>
      <c r="H16" s="6" t="inlineStr">
        <is>
          <t>Layout-specific path convergence is evaluated</t>
        </is>
      </c>
      <c r="I16" s="6" t="inlineStr">
        <is>
          <t>STOP/HOLD or protected WALK after clearance</t>
        </is>
      </c>
      <c r="J16" s="6" t="inlineStr">
        <is>
          <t>Safe state and auditable record</t>
        </is>
      </c>
      <c r="K16" s="6" t="inlineStr">
        <is>
          <t>SC-B0 vocabulary preserved; junction legs added for T1/X1</t>
        </is>
      </c>
    </row>
    <row r="17" ht="30" customHeight="1">
      <c r="A17" s="6" t="inlineStr">
        <is>
          <t>SC-B0-S14</t>
        </is>
      </c>
      <c r="B17" s="6" t="inlineStr">
        <is>
          <t>SC-B0</t>
        </is>
      </c>
      <c r="C17" s="6" t="inlineStr">
        <is>
          <t>Late pedestrian entry</t>
        </is>
      </c>
      <c r="D17" s="6" t="inlineStr">
        <is>
          <t>Actors enter monitored approaches</t>
        </is>
      </c>
      <c r="E17" s="6" t="inlineStr">
        <is>
          <t>Demand or abnormal movement begins</t>
        </is>
      </c>
      <c r="F17" s="6" t="inlineStr">
        <is>
          <t>Late pedestrian entry indication is correlated</t>
        </is>
      </c>
      <c r="G17" s="6" t="inlineStr">
        <is>
          <t>Risk state raised; WALK remains gated</t>
        </is>
      </c>
      <c r="H17" s="6" t="inlineStr">
        <is>
          <t>Layout-specific path convergence is evaluated</t>
        </is>
      </c>
      <c r="I17" s="6" t="inlineStr">
        <is>
          <t>STOP/HOLD or protected WALK after clearance</t>
        </is>
      </c>
      <c r="J17" s="6" t="inlineStr">
        <is>
          <t>Safe state and auditable record</t>
        </is>
      </c>
      <c r="K17" s="6" t="inlineStr">
        <is>
          <t>SC-B0 vocabulary preserved; junction legs added for T1/X1</t>
        </is>
      </c>
    </row>
    <row r="18" ht="30" customHeight="1">
      <c r="A18" s="6" t="inlineStr">
        <is>
          <t>SC-B0-S15</t>
        </is>
      </c>
      <c r="B18" s="6" t="inlineStr">
        <is>
          <t>SC-B0</t>
        </is>
      </c>
      <c r="C18" s="6" t="inlineStr">
        <is>
          <t>Slow or mobility-impaired pedestrian</t>
        </is>
      </c>
      <c r="D18" s="6" t="inlineStr">
        <is>
          <t>Actors enter monitored approaches</t>
        </is>
      </c>
      <c r="E18" s="6" t="inlineStr">
        <is>
          <t>Demand or abnormal movement begins</t>
        </is>
      </c>
      <c r="F18" s="6" t="inlineStr">
        <is>
          <t>Slow or mobility-impaired pedestrian indication is correlated</t>
        </is>
      </c>
      <c r="G18" s="6" t="inlineStr">
        <is>
          <t>Risk state raised; WALK remains gated</t>
        </is>
      </c>
      <c r="H18" s="6" t="inlineStr">
        <is>
          <t>Layout-specific path convergence is evaluated</t>
        </is>
      </c>
      <c r="I18" s="6" t="inlineStr">
        <is>
          <t>STOP/HOLD or protected WALK after clearance</t>
        </is>
      </c>
      <c r="J18" s="6" t="inlineStr">
        <is>
          <t>Safe state and auditable record</t>
        </is>
      </c>
      <c r="K18" s="6" t="inlineStr">
        <is>
          <t>SC-B0 vocabulary preserved; junction legs added for T1/X1</t>
        </is>
      </c>
    </row>
    <row r="19" ht="30" customHeight="1">
      <c r="A19" s="6" t="inlineStr">
        <is>
          <t>SC-B0-S16</t>
        </is>
      </c>
      <c r="B19" s="6" t="inlineStr">
        <is>
          <t>SC-B0</t>
        </is>
      </c>
      <c r="C19" s="6" t="inlineStr">
        <is>
          <t>Child running into crossing</t>
        </is>
      </c>
      <c r="D19" s="6" t="inlineStr">
        <is>
          <t>Actors enter monitored approaches</t>
        </is>
      </c>
      <c r="E19" s="6" t="inlineStr">
        <is>
          <t>Demand or abnormal movement begins</t>
        </is>
      </c>
      <c r="F19" s="6" t="inlineStr">
        <is>
          <t>Child running into crossing indication is correlated</t>
        </is>
      </c>
      <c r="G19" s="6" t="inlineStr">
        <is>
          <t>Risk state raised; WALK remains gated</t>
        </is>
      </c>
      <c r="H19" s="6" t="inlineStr">
        <is>
          <t>Layout-specific path convergence is evaluated</t>
        </is>
      </c>
      <c r="I19" s="6" t="inlineStr">
        <is>
          <t>STOP/HOLD or protected WALK after clearance</t>
        </is>
      </c>
      <c r="J19" s="6" t="inlineStr">
        <is>
          <t>Safe state and auditable record</t>
        </is>
      </c>
      <c r="K19" s="6" t="inlineStr">
        <is>
          <t>SC-B0 vocabulary preserved; junction legs added for T1/X1</t>
        </is>
      </c>
    </row>
    <row r="20" ht="30" customHeight="1">
      <c r="A20" s="6" t="inlineStr">
        <is>
          <t>SC-B0-S17</t>
        </is>
      </c>
      <c r="B20" s="6" t="inlineStr">
        <is>
          <t>SC-B0</t>
        </is>
      </c>
      <c r="C20" s="6" t="inlineStr">
        <is>
          <t>Group of schoolchildren</t>
        </is>
      </c>
      <c r="D20" s="6" t="inlineStr">
        <is>
          <t>Actors enter monitored approaches</t>
        </is>
      </c>
      <c r="E20" s="6" t="inlineStr">
        <is>
          <t>Demand or abnormal movement begins</t>
        </is>
      </c>
      <c r="F20" s="6" t="inlineStr">
        <is>
          <t>Group of schoolchildren indication is correlated</t>
        </is>
      </c>
      <c r="G20" s="6" t="inlineStr">
        <is>
          <t>Risk state raised; WALK remains gated</t>
        </is>
      </c>
      <c r="H20" s="6" t="inlineStr">
        <is>
          <t>Layout-specific path convergence is evaluated</t>
        </is>
      </c>
      <c r="I20" s="6" t="inlineStr">
        <is>
          <t>STOP/HOLD or protected WALK after clearance</t>
        </is>
      </c>
      <c r="J20" s="6" t="inlineStr">
        <is>
          <t>Safe state and auditable record</t>
        </is>
      </c>
      <c r="K20" s="6" t="inlineStr">
        <is>
          <t>SC-B0 vocabulary preserved; junction legs added for T1/X1</t>
        </is>
      </c>
    </row>
    <row r="21" ht="30" customHeight="1">
      <c r="A21" s="6" t="inlineStr">
        <is>
          <t>SC-B0-S18</t>
        </is>
      </c>
      <c r="B21" s="6" t="inlineStr">
        <is>
          <t>SC-B0</t>
        </is>
      </c>
      <c r="C21" s="6" t="inlineStr">
        <is>
          <t>Bus/heavy vehicle blocks camera</t>
        </is>
      </c>
      <c r="D21" s="6" t="inlineStr">
        <is>
          <t>Actors enter monitored approaches</t>
        </is>
      </c>
      <c r="E21" s="6" t="inlineStr">
        <is>
          <t>Demand or abnormal movement begins</t>
        </is>
      </c>
      <c r="F21" s="6" t="inlineStr">
        <is>
          <t>Bus/heavy vehicle blocks camera indication is correlated</t>
        </is>
      </c>
      <c r="G21" s="6" t="inlineStr">
        <is>
          <t>Risk state raised; WALK remains gated</t>
        </is>
      </c>
      <c r="H21" s="6" t="inlineStr">
        <is>
          <t>Layout-specific path convergence is evaluated</t>
        </is>
      </c>
      <c r="I21" s="6" t="inlineStr">
        <is>
          <t>STOP/HOLD or protected WALK after clearance</t>
        </is>
      </c>
      <c r="J21" s="6" t="inlineStr">
        <is>
          <t>Safe state and auditable record</t>
        </is>
      </c>
      <c r="K21" s="6" t="inlineStr">
        <is>
          <t>SC-B0 vocabulary preserved; junction legs added for T1/X1</t>
        </is>
      </c>
    </row>
    <row r="22" ht="30" customHeight="1">
      <c r="A22" s="6" t="inlineStr">
        <is>
          <t>SC-B0-S19</t>
        </is>
      </c>
      <c r="B22" s="6" t="inlineStr">
        <is>
          <t>SC-B0</t>
        </is>
      </c>
      <c r="C22" s="6" t="inlineStr">
        <is>
          <t>Sensor false positive</t>
        </is>
      </c>
      <c r="D22" s="6" t="inlineStr">
        <is>
          <t>Actors enter monitored approaches</t>
        </is>
      </c>
      <c r="E22" s="6" t="inlineStr">
        <is>
          <t>Demand or abnormal movement begins</t>
        </is>
      </c>
      <c r="F22" s="6" t="inlineStr">
        <is>
          <t>Sensor false positive indication is correlated</t>
        </is>
      </c>
      <c r="G22" s="6" t="inlineStr">
        <is>
          <t>Risk state raised; WALK remains gated</t>
        </is>
      </c>
      <c r="H22" s="6" t="inlineStr">
        <is>
          <t>Layout-specific path convergence is evaluated</t>
        </is>
      </c>
      <c r="I22" s="6" t="inlineStr">
        <is>
          <t>STOP/HOLD or protected WALK after clearance</t>
        </is>
      </c>
      <c r="J22" s="6" t="inlineStr">
        <is>
          <t>Safe state and auditable record</t>
        </is>
      </c>
      <c r="K22" s="6" t="inlineStr">
        <is>
          <t>SC-B0 vocabulary preserved; junction legs added for T1/X1</t>
        </is>
      </c>
    </row>
    <row r="23" ht="30" customHeight="1">
      <c r="A23" s="6" t="inlineStr">
        <is>
          <t>SC-B0-S20</t>
        </is>
      </c>
      <c r="B23" s="6" t="inlineStr">
        <is>
          <t>SC-B0</t>
        </is>
      </c>
      <c r="C23" s="6" t="inlineStr">
        <is>
          <t>Sensor false negative</t>
        </is>
      </c>
      <c r="D23" s="6" t="inlineStr">
        <is>
          <t>Actors enter monitored approaches</t>
        </is>
      </c>
      <c r="E23" s="6" t="inlineStr">
        <is>
          <t>Demand or abnormal movement begins</t>
        </is>
      </c>
      <c r="F23" s="6" t="inlineStr">
        <is>
          <t>Sensor false negative indication is correlated</t>
        </is>
      </c>
      <c r="G23" s="6" t="inlineStr">
        <is>
          <t>Risk state raised; WALK remains gated</t>
        </is>
      </c>
      <c r="H23" s="6" t="inlineStr">
        <is>
          <t>Layout-specific path convergence is evaluated</t>
        </is>
      </c>
      <c r="I23" s="6" t="inlineStr">
        <is>
          <t>STOP/HOLD or protected WALK after clearance</t>
        </is>
      </c>
      <c r="J23" s="6" t="inlineStr">
        <is>
          <t>Safe state and auditable record</t>
        </is>
      </c>
      <c r="K23" s="6" t="inlineStr">
        <is>
          <t>SC-B0 vocabulary preserved; junction legs added for T1/X1</t>
        </is>
      </c>
    </row>
    <row r="24" ht="30" customHeight="1">
      <c r="A24" s="6" t="inlineStr">
        <is>
          <t>SC-B0-S21</t>
        </is>
      </c>
      <c r="B24" s="6" t="inlineStr">
        <is>
          <t>SC-B0</t>
        </is>
      </c>
      <c r="C24" s="6" t="inlineStr">
        <is>
          <t>Signal-controller fault</t>
        </is>
      </c>
      <c r="D24" s="6" t="inlineStr">
        <is>
          <t>Actors enter monitored approaches</t>
        </is>
      </c>
      <c r="E24" s="6" t="inlineStr">
        <is>
          <t>Demand or abnormal movement begins</t>
        </is>
      </c>
      <c r="F24" s="6" t="inlineStr">
        <is>
          <t>Signal-controller fault indication is correlated</t>
        </is>
      </c>
      <c r="G24" s="6" t="inlineStr">
        <is>
          <t>Risk state raised; WALK remains gated</t>
        </is>
      </c>
      <c r="H24" s="6" t="inlineStr">
        <is>
          <t>Layout-specific path convergence is evaluated</t>
        </is>
      </c>
      <c r="I24" s="6" t="inlineStr">
        <is>
          <t>STOP/HOLD or protected WALK after clearance</t>
        </is>
      </c>
      <c r="J24" s="6" t="inlineStr">
        <is>
          <t>Safe state and auditable record</t>
        </is>
      </c>
      <c r="K24" s="6" t="inlineStr">
        <is>
          <t>SC-B0 vocabulary preserved; junction legs added for T1/X1</t>
        </is>
      </c>
    </row>
    <row r="25" ht="30" customHeight="1">
      <c r="A25" s="6" t="inlineStr">
        <is>
          <t>SC-B0-S22</t>
        </is>
      </c>
      <c r="B25" s="6" t="inlineStr">
        <is>
          <t>SC-B0</t>
        </is>
      </c>
      <c r="C25" s="6" t="inlineStr">
        <is>
          <t>Power or communications failure</t>
        </is>
      </c>
      <c r="D25" s="6" t="inlineStr">
        <is>
          <t>Actors enter monitored approaches</t>
        </is>
      </c>
      <c r="E25" s="6" t="inlineStr">
        <is>
          <t>Demand or abnormal movement begins</t>
        </is>
      </c>
      <c r="F25" s="6" t="inlineStr">
        <is>
          <t>Power or communications failure indication is correlated</t>
        </is>
      </c>
      <c r="G25" s="6" t="inlineStr">
        <is>
          <t>Risk state raised; WALK remains gated</t>
        </is>
      </c>
      <c r="H25" s="6" t="inlineStr">
        <is>
          <t>Layout-specific path convergence is evaluated</t>
        </is>
      </c>
      <c r="I25" s="6" t="inlineStr">
        <is>
          <t>STOP/HOLD or protected WALK after clearance</t>
        </is>
      </c>
      <c r="J25" s="6" t="inlineStr">
        <is>
          <t>Safe state and auditable record</t>
        </is>
      </c>
      <c r="K25" s="6" t="inlineStr">
        <is>
          <t>SC-B0 vocabulary preserved; junction legs added for T1/X1</t>
        </is>
      </c>
    </row>
    <row r="26" ht="30" customHeight="1">
      <c r="A26" s="6" t="inlineStr">
        <is>
          <t>SC-B0-S23</t>
        </is>
      </c>
      <c r="B26" s="6" t="inlineStr">
        <is>
          <t>SC-B0</t>
        </is>
      </c>
      <c r="C26" s="6" t="inlineStr">
        <is>
          <t>Collision or life-threatening incident</t>
        </is>
      </c>
      <c r="D26" s="6" t="inlineStr">
        <is>
          <t>Actors enter monitored approaches</t>
        </is>
      </c>
      <c r="E26" s="6" t="inlineStr">
        <is>
          <t>Demand or abnormal movement begins</t>
        </is>
      </c>
      <c r="F26" s="6" t="inlineStr">
        <is>
          <t>Collision or life-threatening incident indication is correlated</t>
        </is>
      </c>
      <c r="G26" s="6" t="inlineStr">
        <is>
          <t>Risk state raised; WALK remains gated</t>
        </is>
      </c>
      <c r="H26" s="6" t="inlineStr">
        <is>
          <t>Layout-specific path convergence is evaluated</t>
        </is>
      </c>
      <c r="I26" s="6" t="inlineStr">
        <is>
          <t>STOP/HOLD or protected WALK after clearance</t>
        </is>
      </c>
      <c r="J26" s="6" t="inlineStr">
        <is>
          <t>Safe state and auditable record</t>
        </is>
      </c>
      <c r="K26" s="6" t="inlineStr">
        <is>
          <t>SC-B0 vocabulary preserved; junction legs added for T1/X1</t>
        </is>
      </c>
    </row>
    <row r="27" ht="30" customHeight="1">
      <c r="A27" s="6" t="inlineStr">
        <is>
          <t>SC-B0-S24</t>
        </is>
      </c>
      <c r="B27" s="6" t="inlineStr">
        <is>
          <t>SC-B0</t>
        </is>
      </c>
      <c r="C27" s="6" t="inlineStr">
        <is>
          <t>Emergency-vehicle approach</t>
        </is>
      </c>
      <c r="D27" s="6" t="inlineStr">
        <is>
          <t>Actors enter monitored approaches</t>
        </is>
      </c>
      <c r="E27" s="6" t="inlineStr">
        <is>
          <t>Demand or abnormal movement begins</t>
        </is>
      </c>
      <c r="F27" s="6" t="inlineStr">
        <is>
          <t>Emergency-vehicle approach indication is correlated</t>
        </is>
      </c>
      <c r="G27" s="6" t="inlineStr">
        <is>
          <t>Risk state raised; WALK remains gated</t>
        </is>
      </c>
      <c r="H27" s="6" t="inlineStr">
        <is>
          <t>Layout-specific path convergence is evaluated</t>
        </is>
      </c>
      <c r="I27" s="6" t="inlineStr">
        <is>
          <t>STOP/HOLD or protected WALK after clearance</t>
        </is>
      </c>
      <c r="J27" s="6" t="inlineStr">
        <is>
          <t>Safe state and auditable record</t>
        </is>
      </c>
      <c r="K27" s="6" t="inlineStr">
        <is>
          <t>SC-B0 vocabulary preserved; junction legs added for T1/X1</t>
        </is>
      </c>
    </row>
    <row r="28" ht="30" customHeight="1">
      <c r="A28" s="6" t="inlineStr">
        <is>
          <t>SC-T1-S01</t>
        </is>
      </c>
      <c r="B28" s="6" t="inlineStr">
        <is>
          <t>SC-T1</t>
        </is>
      </c>
      <c r="C28" s="6" t="inlineStr">
        <is>
          <t>Protected pedestrian request</t>
        </is>
      </c>
      <c r="D28" s="6" t="inlineStr">
        <is>
          <t>Actors enter monitored approaches</t>
        </is>
      </c>
      <c r="E28" s="6" t="inlineStr">
        <is>
          <t>Demand or abnormal movement begins</t>
        </is>
      </c>
      <c r="F28" s="6" t="inlineStr">
        <is>
          <t>Protected pedestrian request indication is correlated</t>
        </is>
      </c>
      <c r="G28" s="6" t="inlineStr">
        <is>
          <t>Risk state raised; WALK remains gated</t>
        </is>
      </c>
      <c r="H28" s="6" t="inlineStr">
        <is>
          <t>Layout-specific path convergence is evaluated</t>
        </is>
      </c>
      <c r="I28" s="6" t="inlineStr">
        <is>
          <t>STOP/HOLD or protected WALK after clearance</t>
        </is>
      </c>
      <c r="J28" s="6" t="inlineStr">
        <is>
          <t>Safe state and auditable record</t>
        </is>
      </c>
      <c r="K28" s="6" t="inlineStr">
        <is>
          <t>SC-B0 vocabulary preserved; junction legs added for T1/X1</t>
        </is>
      </c>
    </row>
    <row r="29" ht="30" customHeight="1">
      <c r="A29" s="6" t="inlineStr">
        <is>
          <t>SC-T1-S02</t>
        </is>
      </c>
      <c r="B29" s="6" t="inlineStr">
        <is>
          <t>SC-T1</t>
        </is>
      </c>
      <c r="C29" s="6" t="inlineStr">
        <is>
          <t>Left-turn conflict</t>
        </is>
      </c>
      <c r="D29" s="6" t="inlineStr">
        <is>
          <t>Actors enter monitored approaches</t>
        </is>
      </c>
      <c r="E29" s="6" t="inlineStr">
        <is>
          <t>Demand or abnormal movement begins</t>
        </is>
      </c>
      <c r="F29" s="6" t="inlineStr">
        <is>
          <t>Left-turn conflict indication is correlated</t>
        </is>
      </c>
      <c r="G29" s="6" t="inlineStr">
        <is>
          <t>Risk state raised; WALK remains gated</t>
        </is>
      </c>
      <c r="H29" s="6" t="inlineStr">
        <is>
          <t>Layout-specific path convergence is evaluated</t>
        </is>
      </c>
      <c r="I29" s="6" t="inlineStr">
        <is>
          <t>STOP/HOLD or protected WALK after clearance</t>
        </is>
      </c>
      <c r="J29" s="6" t="inlineStr">
        <is>
          <t>Safe state and auditable record</t>
        </is>
      </c>
      <c r="K29" s="6" t="inlineStr">
        <is>
          <t>SC-B0 vocabulary preserved; junction legs added for T1/X1</t>
        </is>
      </c>
    </row>
    <row r="30" ht="30" customHeight="1">
      <c r="A30" s="6" t="inlineStr">
        <is>
          <t>SC-T1-S03</t>
        </is>
      </c>
      <c r="B30" s="6" t="inlineStr">
        <is>
          <t>SC-T1</t>
        </is>
      </c>
      <c r="C30" s="6" t="inlineStr">
        <is>
          <t>Right-turn conflict</t>
        </is>
      </c>
      <c r="D30" s="6" t="inlineStr">
        <is>
          <t>Actors enter monitored approaches</t>
        </is>
      </c>
      <c r="E30" s="6" t="inlineStr">
        <is>
          <t>Demand or abnormal movement begins</t>
        </is>
      </c>
      <c r="F30" s="6" t="inlineStr">
        <is>
          <t>Right-turn conflict indication is correlated</t>
        </is>
      </c>
      <c r="G30" s="6" t="inlineStr">
        <is>
          <t>Risk state raised; WALK remains gated</t>
        </is>
      </c>
      <c r="H30" s="6" t="inlineStr">
        <is>
          <t>Layout-specific path convergence is evaluated</t>
        </is>
      </c>
      <c r="I30" s="6" t="inlineStr">
        <is>
          <t>STOP/HOLD or protected WALK after clearance</t>
        </is>
      </c>
      <c r="J30" s="6" t="inlineStr">
        <is>
          <t>Safe state and auditable record</t>
        </is>
      </c>
      <c r="K30" s="6" t="inlineStr">
        <is>
          <t>SC-B0 vocabulary preserved; junction legs added for T1/X1</t>
        </is>
      </c>
    </row>
    <row r="31" ht="30" customHeight="1">
      <c r="A31" s="6" t="inlineStr">
        <is>
          <t>SC-T1-S04</t>
        </is>
      </c>
      <c r="B31" s="6" t="inlineStr">
        <is>
          <t>SC-T1</t>
        </is>
      </c>
      <c r="C31" s="6" t="inlineStr">
        <is>
          <t>Through-vehicle conflict</t>
        </is>
      </c>
      <c r="D31" s="6" t="inlineStr">
        <is>
          <t>Actors enter monitored approaches</t>
        </is>
      </c>
      <c r="E31" s="6" t="inlineStr">
        <is>
          <t>Demand or abnormal movement begins</t>
        </is>
      </c>
      <c r="F31" s="6" t="inlineStr">
        <is>
          <t>Through-vehicle conflict indication is correlated</t>
        </is>
      </c>
      <c r="G31" s="6" t="inlineStr">
        <is>
          <t>Risk state raised; WALK remains gated</t>
        </is>
      </c>
      <c r="H31" s="6" t="inlineStr">
        <is>
          <t>Layout-specific path convergence is evaluated</t>
        </is>
      </c>
      <c r="I31" s="6" t="inlineStr">
        <is>
          <t>STOP/HOLD or protected WALK after clearance</t>
        </is>
      </c>
      <c r="J31" s="6" t="inlineStr">
        <is>
          <t>Safe state and auditable record</t>
        </is>
      </c>
      <c r="K31" s="6" t="inlineStr">
        <is>
          <t>SC-B0 vocabulary preserved; junction legs added for T1/X1</t>
        </is>
      </c>
    </row>
    <row r="32" ht="30" customHeight="1">
      <c r="A32" s="6" t="inlineStr">
        <is>
          <t>SC-T1-S05</t>
        </is>
      </c>
      <c r="B32" s="6" t="inlineStr">
        <is>
          <t>SC-T1</t>
        </is>
      </c>
      <c r="C32" s="6" t="inlineStr">
        <is>
          <t>Red-light violation</t>
        </is>
      </c>
      <c r="D32" s="6" t="inlineStr">
        <is>
          <t>Actors enter monitored approaches</t>
        </is>
      </c>
      <c r="E32" s="6" t="inlineStr">
        <is>
          <t>Demand or abnormal movement begins</t>
        </is>
      </c>
      <c r="F32" s="6" t="inlineStr">
        <is>
          <t>Red-light violation indication is correlated</t>
        </is>
      </c>
      <c r="G32" s="6" t="inlineStr">
        <is>
          <t>Risk state raised; WALK remains gated</t>
        </is>
      </c>
      <c r="H32" s="6" t="inlineStr">
        <is>
          <t>Layout-specific path convergence is evaluated</t>
        </is>
      </c>
      <c r="I32" s="6" t="inlineStr">
        <is>
          <t>STOP/HOLD or protected WALK after clearance</t>
        </is>
      </c>
      <c r="J32" s="6" t="inlineStr">
        <is>
          <t>Safe state and auditable record</t>
        </is>
      </c>
      <c r="K32" s="6" t="inlineStr">
        <is>
          <t>SC-B0 vocabulary preserved; junction legs added for T1/X1</t>
        </is>
      </c>
    </row>
    <row r="33" ht="30" customHeight="1">
      <c r="A33" s="6" t="inlineStr">
        <is>
          <t>SC-T1-S06</t>
        </is>
      </c>
      <c r="B33" s="6" t="inlineStr">
        <is>
          <t>SC-T1</t>
        </is>
      </c>
      <c r="C33" s="6" t="inlineStr">
        <is>
          <t>Speeding approach</t>
        </is>
      </c>
      <c r="D33" s="6" t="inlineStr">
        <is>
          <t>Actors enter monitored approaches</t>
        </is>
      </c>
      <c r="E33" s="6" t="inlineStr">
        <is>
          <t>Demand or abnormal movement begins</t>
        </is>
      </c>
      <c r="F33" s="6" t="inlineStr">
        <is>
          <t>Speeding approach indication is correlated</t>
        </is>
      </c>
      <c r="G33" s="6" t="inlineStr">
        <is>
          <t>Risk state raised; WALK remains gated</t>
        </is>
      </c>
      <c r="H33" s="6" t="inlineStr">
        <is>
          <t>Layout-specific path convergence is evaluated</t>
        </is>
      </c>
      <c r="I33" s="6" t="inlineStr">
        <is>
          <t>STOP/HOLD or protected WALK after clearance</t>
        </is>
      </c>
      <c r="J33" s="6" t="inlineStr">
        <is>
          <t>Safe state and auditable record</t>
        </is>
      </c>
      <c r="K33" s="6" t="inlineStr">
        <is>
          <t>SC-B0 vocabulary preserved; junction legs added for T1/X1</t>
        </is>
      </c>
    </row>
    <row r="34" ht="30" customHeight="1">
      <c r="A34" s="6" t="inlineStr">
        <is>
          <t>SC-T1-S07</t>
        </is>
      </c>
      <c r="B34" s="6" t="inlineStr">
        <is>
          <t>SC-T1</t>
        </is>
      </c>
      <c r="C34" s="6" t="inlineStr">
        <is>
          <t>Failure to yield</t>
        </is>
      </c>
      <c r="D34" s="6" t="inlineStr">
        <is>
          <t>Actors enter monitored approaches</t>
        </is>
      </c>
      <c r="E34" s="6" t="inlineStr">
        <is>
          <t>Demand or abnormal movement begins</t>
        </is>
      </c>
      <c r="F34" s="6" t="inlineStr">
        <is>
          <t>Failure to yield indication is correlated</t>
        </is>
      </c>
      <c r="G34" s="6" t="inlineStr">
        <is>
          <t>Risk state raised; WALK remains gated</t>
        </is>
      </c>
      <c r="H34" s="6" t="inlineStr">
        <is>
          <t>Layout-specific path convergence is evaluated</t>
        </is>
      </c>
      <c r="I34" s="6" t="inlineStr">
        <is>
          <t>STOP/HOLD or protected WALK after clearance</t>
        </is>
      </c>
      <c r="J34" s="6" t="inlineStr">
        <is>
          <t>Safe state and auditable record</t>
        </is>
      </c>
      <c r="K34" s="6" t="inlineStr">
        <is>
          <t>SC-B0 vocabulary preserved; junction legs added for T1/X1</t>
        </is>
      </c>
    </row>
    <row r="35" ht="30" customHeight="1">
      <c r="A35" s="6" t="inlineStr">
        <is>
          <t>SC-T1-S08</t>
        </is>
      </c>
      <c r="B35" s="6" t="inlineStr">
        <is>
          <t>SC-T1</t>
        </is>
      </c>
      <c r="C35" s="6" t="inlineStr">
        <is>
          <t>Vehicle stopping over crossing</t>
        </is>
      </c>
      <c r="D35" s="6" t="inlineStr">
        <is>
          <t>Actors enter monitored approaches</t>
        </is>
      </c>
      <c r="E35" s="6" t="inlineStr">
        <is>
          <t>Demand or abnormal movement begins</t>
        </is>
      </c>
      <c r="F35" s="6" t="inlineStr">
        <is>
          <t>Vehicle stopping over crossing indication is correlated</t>
        </is>
      </c>
      <c r="G35" s="6" t="inlineStr">
        <is>
          <t>Risk state raised; WALK remains gated</t>
        </is>
      </c>
      <c r="H35" s="6" t="inlineStr">
        <is>
          <t>Layout-specific path convergence is evaluated</t>
        </is>
      </c>
      <c r="I35" s="6" t="inlineStr">
        <is>
          <t>STOP/HOLD or protected WALK after clearance</t>
        </is>
      </c>
      <c r="J35" s="6" t="inlineStr">
        <is>
          <t>Safe state and auditable record</t>
        </is>
      </c>
      <c r="K35" s="6" t="inlineStr">
        <is>
          <t>SC-B0 vocabulary preserved; junction legs added for T1/X1</t>
        </is>
      </c>
    </row>
    <row r="36" ht="30" customHeight="1">
      <c r="A36" s="6" t="inlineStr">
        <is>
          <t>SC-T1-S09</t>
        </is>
      </c>
      <c r="B36" s="6" t="inlineStr">
        <is>
          <t>SC-T1</t>
        </is>
      </c>
      <c r="C36" s="6" t="inlineStr">
        <is>
          <t>Queue spillback</t>
        </is>
      </c>
      <c r="D36" s="6" t="inlineStr">
        <is>
          <t>Actors enter monitored approaches</t>
        </is>
      </c>
      <c r="E36" s="6" t="inlineStr">
        <is>
          <t>Demand or abnormal movement begins</t>
        </is>
      </c>
      <c r="F36" s="6" t="inlineStr">
        <is>
          <t>Queue spillback indication is correlated</t>
        </is>
      </c>
      <c r="G36" s="6" t="inlineStr">
        <is>
          <t>Risk state raised; WALK remains gated</t>
        </is>
      </c>
      <c r="H36" s="6" t="inlineStr">
        <is>
          <t>Layout-specific path convergence is evaluated</t>
        </is>
      </c>
      <c r="I36" s="6" t="inlineStr">
        <is>
          <t>STOP/HOLD or protected WALK after clearance</t>
        </is>
      </c>
      <c r="J36" s="6" t="inlineStr">
        <is>
          <t>Safe state and auditable record</t>
        </is>
      </c>
      <c r="K36" s="6" t="inlineStr">
        <is>
          <t>SC-B0 vocabulary preserved; junction legs added for T1/X1</t>
        </is>
      </c>
    </row>
    <row r="37" ht="30" customHeight="1">
      <c r="A37" s="6" t="inlineStr">
        <is>
          <t>SC-T1-S10</t>
        </is>
      </c>
      <c r="B37" s="6" t="inlineStr">
        <is>
          <t>SC-T1</t>
        </is>
      </c>
      <c r="C37" s="6" t="inlineStr">
        <is>
          <t>Illegal U-turn</t>
        </is>
      </c>
      <c r="D37" s="6" t="inlineStr">
        <is>
          <t>Actors enter monitored approaches</t>
        </is>
      </c>
      <c r="E37" s="6" t="inlineStr">
        <is>
          <t>Demand or abnormal movement begins</t>
        </is>
      </c>
      <c r="F37" s="6" t="inlineStr">
        <is>
          <t>Illegal U-turn indication is correlated</t>
        </is>
      </c>
      <c r="G37" s="6" t="inlineStr">
        <is>
          <t>Risk state raised; WALK remains gated</t>
        </is>
      </c>
      <c r="H37" s="6" t="inlineStr">
        <is>
          <t>Layout-specific path convergence is evaluated</t>
        </is>
      </c>
      <c r="I37" s="6" t="inlineStr">
        <is>
          <t>STOP/HOLD or protected WALK after clearance</t>
        </is>
      </c>
      <c r="J37" s="6" t="inlineStr">
        <is>
          <t>Safe state and auditable record</t>
        </is>
      </c>
      <c r="K37" s="6" t="inlineStr">
        <is>
          <t>SC-B0 vocabulary preserved; junction legs added for T1/X1</t>
        </is>
      </c>
    </row>
    <row r="38" ht="30" customHeight="1">
      <c r="A38" s="6" t="inlineStr">
        <is>
          <t>SC-T1-S11</t>
        </is>
      </c>
      <c r="B38" s="6" t="inlineStr">
        <is>
          <t>SC-T1</t>
        </is>
      </c>
      <c r="C38" s="6" t="inlineStr">
        <is>
          <t>Motorcycle filtering</t>
        </is>
      </c>
      <c r="D38" s="6" t="inlineStr">
        <is>
          <t>Actors enter monitored approaches</t>
        </is>
      </c>
      <c r="E38" s="6" t="inlineStr">
        <is>
          <t>Demand or abnormal movement begins</t>
        </is>
      </c>
      <c r="F38" s="6" t="inlineStr">
        <is>
          <t>Motorcycle filtering indication is correlated</t>
        </is>
      </c>
      <c r="G38" s="6" t="inlineStr">
        <is>
          <t>Risk state raised; WALK remains gated</t>
        </is>
      </c>
      <c r="H38" s="6" t="inlineStr">
        <is>
          <t>Layout-specific path convergence is evaluated</t>
        </is>
      </c>
      <c r="I38" s="6" t="inlineStr">
        <is>
          <t>STOP/HOLD or protected WALK after clearance</t>
        </is>
      </c>
      <c r="J38" s="6" t="inlineStr">
        <is>
          <t>Safe state and auditable record</t>
        </is>
      </c>
      <c r="K38" s="6" t="inlineStr">
        <is>
          <t>SC-B0 vocabulary preserved; junction legs added for T1/X1</t>
        </is>
      </c>
    </row>
    <row r="39" ht="30" customHeight="1">
      <c r="A39" s="6" t="inlineStr">
        <is>
          <t>SC-T1-S12</t>
        </is>
      </c>
      <c r="B39" s="6" t="inlineStr">
        <is>
          <t>SC-T1</t>
        </is>
      </c>
      <c r="C39" s="6" t="inlineStr">
        <is>
          <t>Overtaking near crossing</t>
        </is>
      </c>
      <c r="D39" s="6" t="inlineStr">
        <is>
          <t>Actors enter monitored approaches</t>
        </is>
      </c>
      <c r="E39" s="6" t="inlineStr">
        <is>
          <t>Demand or abnormal movement begins</t>
        </is>
      </c>
      <c r="F39" s="6" t="inlineStr">
        <is>
          <t>Overtaking near crossing indication is correlated</t>
        </is>
      </c>
      <c r="G39" s="6" t="inlineStr">
        <is>
          <t>Risk state raised; WALK remains gated</t>
        </is>
      </c>
      <c r="H39" s="6" t="inlineStr">
        <is>
          <t>Layout-specific path convergence is evaluated</t>
        </is>
      </c>
      <c r="I39" s="6" t="inlineStr">
        <is>
          <t>STOP/HOLD or protected WALK after clearance</t>
        </is>
      </c>
      <c r="J39" s="6" t="inlineStr">
        <is>
          <t>Safe state and auditable record</t>
        </is>
      </c>
      <c r="K39" s="6" t="inlineStr">
        <is>
          <t>SC-B0 vocabulary preserved; junction legs added for T1/X1</t>
        </is>
      </c>
    </row>
    <row r="40" ht="30" customHeight="1">
      <c r="A40" s="6" t="inlineStr">
        <is>
          <t>SC-T1-S13</t>
        </is>
      </c>
      <c r="B40" s="6" t="inlineStr">
        <is>
          <t>SC-T1</t>
        </is>
      </c>
      <c r="C40" s="6" t="inlineStr">
        <is>
          <t>Pedestrian enters during WAIT</t>
        </is>
      </c>
      <c r="D40" s="6" t="inlineStr">
        <is>
          <t>Actors enter monitored approaches</t>
        </is>
      </c>
      <c r="E40" s="6" t="inlineStr">
        <is>
          <t>Demand or abnormal movement begins</t>
        </is>
      </c>
      <c r="F40" s="6" t="inlineStr">
        <is>
          <t>Pedestrian enters during WAIT indication is correlated</t>
        </is>
      </c>
      <c r="G40" s="6" t="inlineStr">
        <is>
          <t>Risk state raised; WALK remains gated</t>
        </is>
      </c>
      <c r="H40" s="6" t="inlineStr">
        <is>
          <t>Layout-specific path convergence is evaluated</t>
        </is>
      </c>
      <c r="I40" s="6" t="inlineStr">
        <is>
          <t>STOP/HOLD or protected WALK after clearance</t>
        </is>
      </c>
      <c r="J40" s="6" t="inlineStr">
        <is>
          <t>Safe state and auditable record</t>
        </is>
      </c>
      <c r="K40" s="6" t="inlineStr">
        <is>
          <t>SC-B0 vocabulary preserved; junction legs added for T1/X1</t>
        </is>
      </c>
    </row>
    <row r="41" ht="30" customHeight="1">
      <c r="A41" s="6" t="inlineStr">
        <is>
          <t>SC-T1-S14</t>
        </is>
      </c>
      <c r="B41" s="6" t="inlineStr">
        <is>
          <t>SC-T1</t>
        </is>
      </c>
      <c r="C41" s="6" t="inlineStr">
        <is>
          <t>Late pedestrian entry</t>
        </is>
      </c>
      <c r="D41" s="6" t="inlineStr">
        <is>
          <t>Actors enter monitored approaches</t>
        </is>
      </c>
      <c r="E41" s="6" t="inlineStr">
        <is>
          <t>Demand or abnormal movement begins</t>
        </is>
      </c>
      <c r="F41" s="6" t="inlineStr">
        <is>
          <t>Late pedestrian entry indication is correlated</t>
        </is>
      </c>
      <c r="G41" s="6" t="inlineStr">
        <is>
          <t>Risk state raised; WALK remains gated</t>
        </is>
      </c>
      <c r="H41" s="6" t="inlineStr">
        <is>
          <t>Layout-specific path convergence is evaluated</t>
        </is>
      </c>
      <c r="I41" s="6" t="inlineStr">
        <is>
          <t>STOP/HOLD or protected WALK after clearance</t>
        </is>
      </c>
      <c r="J41" s="6" t="inlineStr">
        <is>
          <t>Safe state and auditable record</t>
        </is>
      </c>
      <c r="K41" s="6" t="inlineStr">
        <is>
          <t>SC-B0 vocabulary preserved; junction legs added for T1/X1</t>
        </is>
      </c>
    </row>
    <row r="42" ht="30" customHeight="1">
      <c r="A42" s="6" t="inlineStr">
        <is>
          <t>SC-T1-S15</t>
        </is>
      </c>
      <c r="B42" s="6" t="inlineStr">
        <is>
          <t>SC-T1</t>
        </is>
      </c>
      <c r="C42" s="6" t="inlineStr">
        <is>
          <t>Slow or mobility-impaired pedestrian</t>
        </is>
      </c>
      <c r="D42" s="6" t="inlineStr">
        <is>
          <t>Actors enter monitored approaches</t>
        </is>
      </c>
      <c r="E42" s="6" t="inlineStr">
        <is>
          <t>Demand or abnormal movement begins</t>
        </is>
      </c>
      <c r="F42" s="6" t="inlineStr">
        <is>
          <t>Slow or mobility-impaired pedestrian indication is correlated</t>
        </is>
      </c>
      <c r="G42" s="6" t="inlineStr">
        <is>
          <t>Risk state raised; WALK remains gated</t>
        </is>
      </c>
      <c r="H42" s="6" t="inlineStr">
        <is>
          <t>Layout-specific path convergence is evaluated</t>
        </is>
      </c>
      <c r="I42" s="6" t="inlineStr">
        <is>
          <t>STOP/HOLD or protected WALK after clearance</t>
        </is>
      </c>
      <c r="J42" s="6" t="inlineStr">
        <is>
          <t>Safe state and auditable record</t>
        </is>
      </c>
      <c r="K42" s="6" t="inlineStr">
        <is>
          <t>SC-B0 vocabulary preserved; junction legs added for T1/X1</t>
        </is>
      </c>
    </row>
    <row r="43" ht="30" customHeight="1">
      <c r="A43" s="6" t="inlineStr">
        <is>
          <t>SC-T1-S16</t>
        </is>
      </c>
      <c r="B43" s="6" t="inlineStr">
        <is>
          <t>SC-T1</t>
        </is>
      </c>
      <c r="C43" s="6" t="inlineStr">
        <is>
          <t>Child running into crossing</t>
        </is>
      </c>
      <c r="D43" s="6" t="inlineStr">
        <is>
          <t>Actors enter monitored approaches</t>
        </is>
      </c>
      <c r="E43" s="6" t="inlineStr">
        <is>
          <t>Demand or abnormal movement begins</t>
        </is>
      </c>
      <c r="F43" s="6" t="inlineStr">
        <is>
          <t>Child running into crossing indication is correlated</t>
        </is>
      </c>
      <c r="G43" s="6" t="inlineStr">
        <is>
          <t>Risk state raised; WALK remains gated</t>
        </is>
      </c>
      <c r="H43" s="6" t="inlineStr">
        <is>
          <t>Layout-specific path convergence is evaluated</t>
        </is>
      </c>
      <c r="I43" s="6" t="inlineStr">
        <is>
          <t>STOP/HOLD or protected WALK after clearance</t>
        </is>
      </c>
      <c r="J43" s="6" t="inlineStr">
        <is>
          <t>Safe state and auditable record</t>
        </is>
      </c>
      <c r="K43" s="6" t="inlineStr">
        <is>
          <t>SC-B0 vocabulary preserved; junction legs added for T1/X1</t>
        </is>
      </c>
    </row>
    <row r="44" ht="30" customHeight="1">
      <c r="A44" s="6" t="inlineStr">
        <is>
          <t>SC-T1-S17</t>
        </is>
      </c>
      <c r="B44" s="6" t="inlineStr">
        <is>
          <t>SC-T1</t>
        </is>
      </c>
      <c r="C44" s="6" t="inlineStr">
        <is>
          <t>Group of schoolchildren</t>
        </is>
      </c>
      <c r="D44" s="6" t="inlineStr">
        <is>
          <t>Actors enter monitored approaches</t>
        </is>
      </c>
      <c r="E44" s="6" t="inlineStr">
        <is>
          <t>Demand or abnormal movement begins</t>
        </is>
      </c>
      <c r="F44" s="6" t="inlineStr">
        <is>
          <t>Group of schoolchildren indication is correlated</t>
        </is>
      </c>
      <c r="G44" s="6" t="inlineStr">
        <is>
          <t>Risk state raised; WALK remains gated</t>
        </is>
      </c>
      <c r="H44" s="6" t="inlineStr">
        <is>
          <t>Layout-specific path convergence is evaluated</t>
        </is>
      </c>
      <c r="I44" s="6" t="inlineStr">
        <is>
          <t>STOP/HOLD or protected WALK after clearance</t>
        </is>
      </c>
      <c r="J44" s="6" t="inlineStr">
        <is>
          <t>Safe state and auditable record</t>
        </is>
      </c>
      <c r="K44" s="6" t="inlineStr">
        <is>
          <t>SC-B0 vocabulary preserved; junction legs added for T1/X1</t>
        </is>
      </c>
    </row>
    <row r="45" ht="30" customHeight="1">
      <c r="A45" s="6" t="inlineStr">
        <is>
          <t>SC-T1-S18</t>
        </is>
      </c>
      <c r="B45" s="6" t="inlineStr">
        <is>
          <t>SC-T1</t>
        </is>
      </c>
      <c r="C45" s="6" t="inlineStr">
        <is>
          <t>Bus/heavy vehicle blocks camera</t>
        </is>
      </c>
      <c r="D45" s="6" t="inlineStr">
        <is>
          <t>Actors enter monitored approaches</t>
        </is>
      </c>
      <c r="E45" s="6" t="inlineStr">
        <is>
          <t>Demand or abnormal movement begins</t>
        </is>
      </c>
      <c r="F45" s="6" t="inlineStr">
        <is>
          <t>Bus/heavy vehicle blocks camera indication is correlated</t>
        </is>
      </c>
      <c r="G45" s="6" t="inlineStr">
        <is>
          <t>Risk state raised; WALK remains gated</t>
        </is>
      </c>
      <c r="H45" s="6" t="inlineStr">
        <is>
          <t>Layout-specific path convergence is evaluated</t>
        </is>
      </c>
      <c r="I45" s="6" t="inlineStr">
        <is>
          <t>STOP/HOLD or protected WALK after clearance</t>
        </is>
      </c>
      <c r="J45" s="6" t="inlineStr">
        <is>
          <t>Safe state and auditable record</t>
        </is>
      </c>
      <c r="K45" s="6" t="inlineStr">
        <is>
          <t>SC-B0 vocabulary preserved; junction legs added for T1/X1</t>
        </is>
      </c>
    </row>
    <row r="46" ht="30" customHeight="1">
      <c r="A46" s="6" t="inlineStr">
        <is>
          <t>SC-T1-S19</t>
        </is>
      </c>
      <c r="B46" s="6" t="inlineStr">
        <is>
          <t>SC-T1</t>
        </is>
      </c>
      <c r="C46" s="6" t="inlineStr">
        <is>
          <t>Sensor false positive</t>
        </is>
      </c>
      <c r="D46" s="6" t="inlineStr">
        <is>
          <t>Actors enter monitored approaches</t>
        </is>
      </c>
      <c r="E46" s="6" t="inlineStr">
        <is>
          <t>Demand or abnormal movement begins</t>
        </is>
      </c>
      <c r="F46" s="6" t="inlineStr">
        <is>
          <t>Sensor false positive indication is correlated</t>
        </is>
      </c>
      <c r="G46" s="6" t="inlineStr">
        <is>
          <t>Risk state raised; WALK remains gated</t>
        </is>
      </c>
      <c r="H46" s="6" t="inlineStr">
        <is>
          <t>Layout-specific path convergence is evaluated</t>
        </is>
      </c>
      <c r="I46" s="6" t="inlineStr">
        <is>
          <t>STOP/HOLD or protected WALK after clearance</t>
        </is>
      </c>
      <c r="J46" s="6" t="inlineStr">
        <is>
          <t>Safe state and auditable record</t>
        </is>
      </c>
      <c r="K46" s="6" t="inlineStr">
        <is>
          <t>SC-B0 vocabulary preserved; junction legs added for T1/X1</t>
        </is>
      </c>
    </row>
    <row r="47" ht="30" customHeight="1">
      <c r="A47" s="6" t="inlineStr">
        <is>
          <t>SC-T1-S20</t>
        </is>
      </c>
      <c r="B47" s="6" t="inlineStr">
        <is>
          <t>SC-T1</t>
        </is>
      </c>
      <c r="C47" s="6" t="inlineStr">
        <is>
          <t>Sensor false negative</t>
        </is>
      </c>
      <c r="D47" s="6" t="inlineStr">
        <is>
          <t>Actors enter monitored approaches</t>
        </is>
      </c>
      <c r="E47" s="6" t="inlineStr">
        <is>
          <t>Demand or abnormal movement begins</t>
        </is>
      </c>
      <c r="F47" s="6" t="inlineStr">
        <is>
          <t>Sensor false negative indication is correlated</t>
        </is>
      </c>
      <c r="G47" s="6" t="inlineStr">
        <is>
          <t>Risk state raised; WALK remains gated</t>
        </is>
      </c>
      <c r="H47" s="6" t="inlineStr">
        <is>
          <t>Layout-specific path convergence is evaluated</t>
        </is>
      </c>
      <c r="I47" s="6" t="inlineStr">
        <is>
          <t>STOP/HOLD or protected WALK after clearance</t>
        </is>
      </c>
      <c r="J47" s="6" t="inlineStr">
        <is>
          <t>Safe state and auditable record</t>
        </is>
      </c>
      <c r="K47" s="6" t="inlineStr">
        <is>
          <t>SC-B0 vocabulary preserved; junction legs added for T1/X1</t>
        </is>
      </c>
    </row>
    <row r="48" ht="30" customHeight="1">
      <c r="A48" s="6" t="inlineStr">
        <is>
          <t>SC-T1-S21</t>
        </is>
      </c>
      <c r="B48" s="6" t="inlineStr">
        <is>
          <t>SC-T1</t>
        </is>
      </c>
      <c r="C48" s="6" t="inlineStr">
        <is>
          <t>Signal-controller fault</t>
        </is>
      </c>
      <c r="D48" s="6" t="inlineStr">
        <is>
          <t>Actors enter monitored approaches</t>
        </is>
      </c>
      <c r="E48" s="6" t="inlineStr">
        <is>
          <t>Demand or abnormal movement begins</t>
        </is>
      </c>
      <c r="F48" s="6" t="inlineStr">
        <is>
          <t>Signal-controller fault indication is correlated</t>
        </is>
      </c>
      <c r="G48" s="6" t="inlineStr">
        <is>
          <t>Risk state raised; WALK remains gated</t>
        </is>
      </c>
      <c r="H48" s="6" t="inlineStr">
        <is>
          <t>Layout-specific path convergence is evaluated</t>
        </is>
      </c>
      <c r="I48" s="6" t="inlineStr">
        <is>
          <t>STOP/HOLD or protected WALK after clearance</t>
        </is>
      </c>
      <c r="J48" s="6" t="inlineStr">
        <is>
          <t>Safe state and auditable record</t>
        </is>
      </c>
      <c r="K48" s="6" t="inlineStr">
        <is>
          <t>SC-B0 vocabulary preserved; junction legs added for T1/X1</t>
        </is>
      </c>
    </row>
    <row r="49" ht="30" customHeight="1">
      <c r="A49" s="6" t="inlineStr">
        <is>
          <t>SC-T1-S22</t>
        </is>
      </c>
      <c r="B49" s="6" t="inlineStr">
        <is>
          <t>SC-T1</t>
        </is>
      </c>
      <c r="C49" s="6" t="inlineStr">
        <is>
          <t>Power or communications failure</t>
        </is>
      </c>
      <c r="D49" s="6" t="inlineStr">
        <is>
          <t>Actors enter monitored approaches</t>
        </is>
      </c>
      <c r="E49" s="6" t="inlineStr">
        <is>
          <t>Demand or abnormal movement begins</t>
        </is>
      </c>
      <c r="F49" s="6" t="inlineStr">
        <is>
          <t>Power or communications failure indication is correlated</t>
        </is>
      </c>
      <c r="G49" s="6" t="inlineStr">
        <is>
          <t>Risk state raised; WALK remains gated</t>
        </is>
      </c>
      <c r="H49" s="6" t="inlineStr">
        <is>
          <t>Layout-specific path convergence is evaluated</t>
        </is>
      </c>
      <c r="I49" s="6" t="inlineStr">
        <is>
          <t>STOP/HOLD or protected WALK after clearance</t>
        </is>
      </c>
      <c r="J49" s="6" t="inlineStr">
        <is>
          <t>Safe state and auditable record</t>
        </is>
      </c>
      <c r="K49" s="6" t="inlineStr">
        <is>
          <t>SC-B0 vocabulary preserved; junction legs added for T1/X1</t>
        </is>
      </c>
    </row>
    <row r="50" ht="30" customHeight="1">
      <c r="A50" s="6" t="inlineStr">
        <is>
          <t>SC-T1-S23</t>
        </is>
      </c>
      <c r="B50" s="6" t="inlineStr">
        <is>
          <t>SC-T1</t>
        </is>
      </c>
      <c r="C50" s="6" t="inlineStr">
        <is>
          <t>Collision or life-threatening incident</t>
        </is>
      </c>
      <c r="D50" s="6" t="inlineStr">
        <is>
          <t>Actors enter monitored approaches</t>
        </is>
      </c>
      <c r="E50" s="6" t="inlineStr">
        <is>
          <t>Demand or abnormal movement begins</t>
        </is>
      </c>
      <c r="F50" s="6" t="inlineStr">
        <is>
          <t>Collision or life-threatening incident indication is correlated</t>
        </is>
      </c>
      <c r="G50" s="6" t="inlineStr">
        <is>
          <t>Risk state raised; WALK remains gated</t>
        </is>
      </c>
      <c r="H50" s="6" t="inlineStr">
        <is>
          <t>Layout-specific path convergence is evaluated</t>
        </is>
      </c>
      <c r="I50" s="6" t="inlineStr">
        <is>
          <t>STOP/HOLD or protected WALK after clearance</t>
        </is>
      </c>
      <c r="J50" s="6" t="inlineStr">
        <is>
          <t>Safe state and auditable record</t>
        </is>
      </c>
      <c r="K50" s="6" t="inlineStr">
        <is>
          <t>SC-B0 vocabulary preserved; junction legs added for T1/X1</t>
        </is>
      </c>
    </row>
    <row r="51" ht="30" customHeight="1">
      <c r="A51" s="6" t="inlineStr">
        <is>
          <t>SC-T1-S24</t>
        </is>
      </c>
      <c r="B51" s="6" t="inlineStr">
        <is>
          <t>SC-T1</t>
        </is>
      </c>
      <c r="C51" s="6" t="inlineStr">
        <is>
          <t>Emergency-vehicle approach</t>
        </is>
      </c>
      <c r="D51" s="6" t="inlineStr">
        <is>
          <t>Actors enter monitored approaches</t>
        </is>
      </c>
      <c r="E51" s="6" t="inlineStr">
        <is>
          <t>Demand or abnormal movement begins</t>
        </is>
      </c>
      <c r="F51" s="6" t="inlineStr">
        <is>
          <t>Emergency-vehicle approach indication is correlated</t>
        </is>
      </c>
      <c r="G51" s="6" t="inlineStr">
        <is>
          <t>Risk state raised; WALK remains gated</t>
        </is>
      </c>
      <c r="H51" s="6" t="inlineStr">
        <is>
          <t>Layout-specific path convergence is evaluated</t>
        </is>
      </c>
      <c r="I51" s="6" t="inlineStr">
        <is>
          <t>STOP/HOLD or protected WALK after clearance</t>
        </is>
      </c>
      <c r="J51" s="6" t="inlineStr">
        <is>
          <t>Safe state and auditable record</t>
        </is>
      </c>
      <c r="K51" s="6" t="inlineStr">
        <is>
          <t>SC-B0 vocabulary preserved; junction legs added for T1/X1</t>
        </is>
      </c>
    </row>
    <row r="52" ht="30" customHeight="1">
      <c r="A52" s="6" t="inlineStr">
        <is>
          <t>SC-X1-S01</t>
        </is>
      </c>
      <c r="B52" s="6" t="inlineStr">
        <is>
          <t>SC-X1</t>
        </is>
      </c>
      <c r="C52" s="6" t="inlineStr">
        <is>
          <t>Protected pedestrian request</t>
        </is>
      </c>
      <c r="D52" s="6" t="inlineStr">
        <is>
          <t>Actors enter monitored approaches</t>
        </is>
      </c>
      <c r="E52" s="6" t="inlineStr">
        <is>
          <t>Demand or abnormal movement begins</t>
        </is>
      </c>
      <c r="F52" s="6" t="inlineStr">
        <is>
          <t>Protected pedestrian request indication is correlated</t>
        </is>
      </c>
      <c r="G52" s="6" t="inlineStr">
        <is>
          <t>Risk state raised; WALK remains gated</t>
        </is>
      </c>
      <c r="H52" s="6" t="inlineStr">
        <is>
          <t>Layout-specific path convergence is evaluated</t>
        </is>
      </c>
      <c r="I52" s="6" t="inlineStr">
        <is>
          <t>STOP/HOLD or protected WALK after clearance</t>
        </is>
      </c>
      <c r="J52" s="6" t="inlineStr">
        <is>
          <t>Safe state and auditable record</t>
        </is>
      </c>
      <c r="K52" s="6" t="inlineStr">
        <is>
          <t>SC-B0 vocabulary preserved; junction legs added for T1/X1</t>
        </is>
      </c>
    </row>
    <row r="53" ht="30" customHeight="1">
      <c r="A53" s="6" t="inlineStr">
        <is>
          <t>SC-X1-S02</t>
        </is>
      </c>
      <c r="B53" s="6" t="inlineStr">
        <is>
          <t>SC-X1</t>
        </is>
      </c>
      <c r="C53" s="6" t="inlineStr">
        <is>
          <t>Left-turn conflict</t>
        </is>
      </c>
      <c r="D53" s="6" t="inlineStr">
        <is>
          <t>Actors enter monitored approaches</t>
        </is>
      </c>
      <c r="E53" s="6" t="inlineStr">
        <is>
          <t>Demand or abnormal movement begins</t>
        </is>
      </c>
      <c r="F53" s="6" t="inlineStr">
        <is>
          <t>Left-turn conflict indication is correlated</t>
        </is>
      </c>
      <c r="G53" s="6" t="inlineStr">
        <is>
          <t>Risk state raised; WALK remains gated</t>
        </is>
      </c>
      <c r="H53" s="6" t="inlineStr">
        <is>
          <t>Layout-specific path convergence is evaluated</t>
        </is>
      </c>
      <c r="I53" s="6" t="inlineStr">
        <is>
          <t>STOP/HOLD or protected WALK after clearance</t>
        </is>
      </c>
      <c r="J53" s="6" t="inlineStr">
        <is>
          <t>Safe state and auditable record</t>
        </is>
      </c>
      <c r="K53" s="6" t="inlineStr">
        <is>
          <t>SC-B0 vocabulary preserved; junction legs added for T1/X1</t>
        </is>
      </c>
    </row>
    <row r="54" ht="30" customHeight="1">
      <c r="A54" s="6" t="inlineStr">
        <is>
          <t>SC-X1-S03</t>
        </is>
      </c>
      <c r="B54" s="6" t="inlineStr">
        <is>
          <t>SC-X1</t>
        </is>
      </c>
      <c r="C54" s="6" t="inlineStr">
        <is>
          <t>Right-turn conflict</t>
        </is>
      </c>
      <c r="D54" s="6" t="inlineStr">
        <is>
          <t>Actors enter monitored approaches</t>
        </is>
      </c>
      <c r="E54" s="6" t="inlineStr">
        <is>
          <t>Demand or abnormal movement begins</t>
        </is>
      </c>
      <c r="F54" s="6" t="inlineStr">
        <is>
          <t>Right-turn conflict indication is correlated</t>
        </is>
      </c>
      <c r="G54" s="6" t="inlineStr">
        <is>
          <t>Risk state raised; WALK remains gated</t>
        </is>
      </c>
      <c r="H54" s="6" t="inlineStr">
        <is>
          <t>Layout-specific path convergence is evaluated</t>
        </is>
      </c>
      <c r="I54" s="6" t="inlineStr">
        <is>
          <t>STOP/HOLD or protected WALK after clearance</t>
        </is>
      </c>
      <c r="J54" s="6" t="inlineStr">
        <is>
          <t>Safe state and auditable record</t>
        </is>
      </c>
      <c r="K54" s="6" t="inlineStr">
        <is>
          <t>SC-B0 vocabulary preserved; junction legs added for T1/X1</t>
        </is>
      </c>
    </row>
    <row r="55" ht="30" customHeight="1">
      <c r="A55" s="6" t="inlineStr">
        <is>
          <t>SC-X1-S04</t>
        </is>
      </c>
      <c r="B55" s="6" t="inlineStr">
        <is>
          <t>SC-X1</t>
        </is>
      </c>
      <c r="C55" s="6" t="inlineStr">
        <is>
          <t>Through-vehicle conflict</t>
        </is>
      </c>
      <c r="D55" s="6" t="inlineStr">
        <is>
          <t>Actors enter monitored approaches</t>
        </is>
      </c>
      <c r="E55" s="6" t="inlineStr">
        <is>
          <t>Demand or abnormal movement begins</t>
        </is>
      </c>
      <c r="F55" s="6" t="inlineStr">
        <is>
          <t>Through-vehicle conflict indication is correlated</t>
        </is>
      </c>
      <c r="G55" s="6" t="inlineStr">
        <is>
          <t>Risk state raised; WALK remains gated</t>
        </is>
      </c>
      <c r="H55" s="6" t="inlineStr">
        <is>
          <t>Layout-specific path convergence is evaluated</t>
        </is>
      </c>
      <c r="I55" s="6" t="inlineStr">
        <is>
          <t>STOP/HOLD or protected WALK after clearance</t>
        </is>
      </c>
      <c r="J55" s="6" t="inlineStr">
        <is>
          <t>Safe state and auditable record</t>
        </is>
      </c>
      <c r="K55" s="6" t="inlineStr">
        <is>
          <t>SC-B0 vocabulary preserved; junction legs added for T1/X1</t>
        </is>
      </c>
    </row>
    <row r="56" ht="30" customHeight="1">
      <c r="A56" s="6" t="inlineStr">
        <is>
          <t>SC-X1-S05</t>
        </is>
      </c>
      <c r="B56" s="6" t="inlineStr">
        <is>
          <t>SC-X1</t>
        </is>
      </c>
      <c r="C56" s="6" t="inlineStr">
        <is>
          <t>Red-light violation</t>
        </is>
      </c>
      <c r="D56" s="6" t="inlineStr">
        <is>
          <t>Actors enter monitored approaches</t>
        </is>
      </c>
      <c r="E56" s="6" t="inlineStr">
        <is>
          <t>Demand or abnormal movement begins</t>
        </is>
      </c>
      <c r="F56" s="6" t="inlineStr">
        <is>
          <t>Red-light violation indication is correlated</t>
        </is>
      </c>
      <c r="G56" s="6" t="inlineStr">
        <is>
          <t>Risk state raised; WALK remains gated</t>
        </is>
      </c>
      <c r="H56" s="6" t="inlineStr">
        <is>
          <t>Layout-specific path convergence is evaluated</t>
        </is>
      </c>
      <c r="I56" s="6" t="inlineStr">
        <is>
          <t>STOP/HOLD or protected WALK after clearance</t>
        </is>
      </c>
      <c r="J56" s="6" t="inlineStr">
        <is>
          <t>Safe state and auditable record</t>
        </is>
      </c>
      <c r="K56" s="6" t="inlineStr">
        <is>
          <t>SC-B0 vocabulary preserved; junction legs added for T1/X1</t>
        </is>
      </c>
    </row>
    <row r="57" ht="30" customHeight="1">
      <c r="A57" s="6" t="inlineStr">
        <is>
          <t>SC-X1-S06</t>
        </is>
      </c>
      <c r="B57" s="6" t="inlineStr">
        <is>
          <t>SC-X1</t>
        </is>
      </c>
      <c r="C57" s="6" t="inlineStr">
        <is>
          <t>Speeding approach</t>
        </is>
      </c>
      <c r="D57" s="6" t="inlineStr">
        <is>
          <t>Actors enter monitored approaches</t>
        </is>
      </c>
      <c r="E57" s="6" t="inlineStr">
        <is>
          <t>Demand or abnormal movement begins</t>
        </is>
      </c>
      <c r="F57" s="6" t="inlineStr">
        <is>
          <t>Speeding approach indication is correlated</t>
        </is>
      </c>
      <c r="G57" s="6" t="inlineStr">
        <is>
          <t>Risk state raised; WALK remains gated</t>
        </is>
      </c>
      <c r="H57" s="6" t="inlineStr">
        <is>
          <t>Layout-specific path convergence is evaluated</t>
        </is>
      </c>
      <c r="I57" s="6" t="inlineStr">
        <is>
          <t>STOP/HOLD or protected WALK after clearance</t>
        </is>
      </c>
      <c r="J57" s="6" t="inlineStr">
        <is>
          <t>Safe state and auditable record</t>
        </is>
      </c>
      <c r="K57" s="6" t="inlineStr">
        <is>
          <t>SC-B0 vocabulary preserved; junction legs added for T1/X1</t>
        </is>
      </c>
    </row>
    <row r="58" ht="30" customHeight="1">
      <c r="A58" s="6" t="inlineStr">
        <is>
          <t>SC-X1-S07</t>
        </is>
      </c>
      <c r="B58" s="6" t="inlineStr">
        <is>
          <t>SC-X1</t>
        </is>
      </c>
      <c r="C58" s="6" t="inlineStr">
        <is>
          <t>Failure to yield</t>
        </is>
      </c>
      <c r="D58" s="6" t="inlineStr">
        <is>
          <t>Actors enter monitored approaches</t>
        </is>
      </c>
      <c r="E58" s="6" t="inlineStr">
        <is>
          <t>Demand or abnormal movement begins</t>
        </is>
      </c>
      <c r="F58" s="6" t="inlineStr">
        <is>
          <t>Failure to yield indication is correlated</t>
        </is>
      </c>
      <c r="G58" s="6" t="inlineStr">
        <is>
          <t>Risk state raised; WALK remains gated</t>
        </is>
      </c>
      <c r="H58" s="6" t="inlineStr">
        <is>
          <t>Layout-specific path convergence is evaluated</t>
        </is>
      </c>
      <c r="I58" s="6" t="inlineStr">
        <is>
          <t>STOP/HOLD or protected WALK after clearance</t>
        </is>
      </c>
      <c r="J58" s="6" t="inlineStr">
        <is>
          <t>Safe state and auditable record</t>
        </is>
      </c>
      <c r="K58" s="6" t="inlineStr">
        <is>
          <t>SC-B0 vocabulary preserved; junction legs added for T1/X1</t>
        </is>
      </c>
    </row>
    <row r="59" ht="30" customHeight="1">
      <c r="A59" s="6" t="inlineStr">
        <is>
          <t>SC-X1-S08</t>
        </is>
      </c>
      <c r="B59" s="6" t="inlineStr">
        <is>
          <t>SC-X1</t>
        </is>
      </c>
      <c r="C59" s="6" t="inlineStr">
        <is>
          <t>Vehicle stopping over crossing</t>
        </is>
      </c>
      <c r="D59" s="6" t="inlineStr">
        <is>
          <t>Actors enter monitored approaches</t>
        </is>
      </c>
      <c r="E59" s="6" t="inlineStr">
        <is>
          <t>Demand or abnormal movement begins</t>
        </is>
      </c>
      <c r="F59" s="6" t="inlineStr">
        <is>
          <t>Vehicle stopping over crossing indication is correlated</t>
        </is>
      </c>
      <c r="G59" s="6" t="inlineStr">
        <is>
          <t>Risk state raised; WALK remains gated</t>
        </is>
      </c>
      <c r="H59" s="6" t="inlineStr">
        <is>
          <t>Layout-specific path convergence is evaluated</t>
        </is>
      </c>
      <c r="I59" s="6" t="inlineStr">
        <is>
          <t>STOP/HOLD or protected WALK after clearance</t>
        </is>
      </c>
      <c r="J59" s="6" t="inlineStr">
        <is>
          <t>Safe state and auditable record</t>
        </is>
      </c>
      <c r="K59" s="6" t="inlineStr">
        <is>
          <t>SC-B0 vocabulary preserved; junction legs added for T1/X1</t>
        </is>
      </c>
    </row>
    <row r="60" ht="30" customHeight="1">
      <c r="A60" s="6" t="inlineStr">
        <is>
          <t>SC-X1-S09</t>
        </is>
      </c>
      <c r="B60" s="6" t="inlineStr">
        <is>
          <t>SC-X1</t>
        </is>
      </c>
      <c r="C60" s="6" t="inlineStr">
        <is>
          <t>Queue spillback</t>
        </is>
      </c>
      <c r="D60" s="6" t="inlineStr">
        <is>
          <t>Actors enter monitored approaches</t>
        </is>
      </c>
      <c r="E60" s="6" t="inlineStr">
        <is>
          <t>Demand or abnormal movement begins</t>
        </is>
      </c>
      <c r="F60" s="6" t="inlineStr">
        <is>
          <t>Queue spillback indication is correlated</t>
        </is>
      </c>
      <c r="G60" s="6" t="inlineStr">
        <is>
          <t>Risk state raised; WALK remains gated</t>
        </is>
      </c>
      <c r="H60" s="6" t="inlineStr">
        <is>
          <t>Layout-specific path convergence is evaluated</t>
        </is>
      </c>
      <c r="I60" s="6" t="inlineStr">
        <is>
          <t>STOP/HOLD or protected WALK after clearance</t>
        </is>
      </c>
      <c r="J60" s="6" t="inlineStr">
        <is>
          <t>Safe state and auditable record</t>
        </is>
      </c>
      <c r="K60" s="6" t="inlineStr">
        <is>
          <t>SC-B0 vocabulary preserved; junction legs added for T1/X1</t>
        </is>
      </c>
    </row>
    <row r="61" ht="30" customHeight="1">
      <c r="A61" s="6" t="inlineStr">
        <is>
          <t>SC-X1-S10</t>
        </is>
      </c>
      <c r="B61" s="6" t="inlineStr">
        <is>
          <t>SC-X1</t>
        </is>
      </c>
      <c r="C61" s="6" t="inlineStr">
        <is>
          <t>Illegal U-turn</t>
        </is>
      </c>
      <c r="D61" s="6" t="inlineStr">
        <is>
          <t>Actors enter monitored approaches</t>
        </is>
      </c>
      <c r="E61" s="6" t="inlineStr">
        <is>
          <t>Demand or abnormal movement begins</t>
        </is>
      </c>
      <c r="F61" s="6" t="inlineStr">
        <is>
          <t>Illegal U-turn indication is correlated</t>
        </is>
      </c>
      <c r="G61" s="6" t="inlineStr">
        <is>
          <t>Risk state raised; WALK remains gated</t>
        </is>
      </c>
      <c r="H61" s="6" t="inlineStr">
        <is>
          <t>Layout-specific path convergence is evaluated</t>
        </is>
      </c>
      <c r="I61" s="6" t="inlineStr">
        <is>
          <t>STOP/HOLD or protected WALK after clearance</t>
        </is>
      </c>
      <c r="J61" s="6" t="inlineStr">
        <is>
          <t>Safe state and auditable record</t>
        </is>
      </c>
      <c r="K61" s="6" t="inlineStr">
        <is>
          <t>SC-B0 vocabulary preserved; junction legs added for T1/X1</t>
        </is>
      </c>
    </row>
    <row r="62" ht="30" customHeight="1">
      <c r="A62" s="6" t="inlineStr">
        <is>
          <t>SC-X1-S11</t>
        </is>
      </c>
      <c r="B62" s="6" t="inlineStr">
        <is>
          <t>SC-X1</t>
        </is>
      </c>
      <c r="C62" s="6" t="inlineStr">
        <is>
          <t>Motorcycle filtering</t>
        </is>
      </c>
      <c r="D62" s="6" t="inlineStr">
        <is>
          <t>Actors enter monitored approaches</t>
        </is>
      </c>
      <c r="E62" s="6" t="inlineStr">
        <is>
          <t>Demand or abnormal movement begins</t>
        </is>
      </c>
      <c r="F62" s="6" t="inlineStr">
        <is>
          <t>Motorcycle filtering indication is correlated</t>
        </is>
      </c>
      <c r="G62" s="6" t="inlineStr">
        <is>
          <t>Risk state raised; WALK remains gated</t>
        </is>
      </c>
      <c r="H62" s="6" t="inlineStr">
        <is>
          <t>Layout-specific path convergence is evaluated</t>
        </is>
      </c>
      <c r="I62" s="6" t="inlineStr">
        <is>
          <t>STOP/HOLD or protected WALK after clearance</t>
        </is>
      </c>
      <c r="J62" s="6" t="inlineStr">
        <is>
          <t>Safe state and auditable record</t>
        </is>
      </c>
      <c r="K62" s="6" t="inlineStr">
        <is>
          <t>SC-B0 vocabulary preserved; junction legs added for T1/X1</t>
        </is>
      </c>
    </row>
    <row r="63" ht="30" customHeight="1">
      <c r="A63" s="6" t="inlineStr">
        <is>
          <t>SC-X1-S12</t>
        </is>
      </c>
      <c r="B63" s="6" t="inlineStr">
        <is>
          <t>SC-X1</t>
        </is>
      </c>
      <c r="C63" s="6" t="inlineStr">
        <is>
          <t>Overtaking near crossing</t>
        </is>
      </c>
      <c r="D63" s="6" t="inlineStr">
        <is>
          <t>Actors enter monitored approaches</t>
        </is>
      </c>
      <c r="E63" s="6" t="inlineStr">
        <is>
          <t>Demand or abnormal movement begins</t>
        </is>
      </c>
      <c r="F63" s="6" t="inlineStr">
        <is>
          <t>Overtaking near crossing indication is correlated</t>
        </is>
      </c>
      <c r="G63" s="6" t="inlineStr">
        <is>
          <t>Risk state raised; WALK remains gated</t>
        </is>
      </c>
      <c r="H63" s="6" t="inlineStr">
        <is>
          <t>Layout-specific path convergence is evaluated</t>
        </is>
      </c>
      <c r="I63" s="6" t="inlineStr">
        <is>
          <t>STOP/HOLD or protected WALK after clearance</t>
        </is>
      </c>
      <c r="J63" s="6" t="inlineStr">
        <is>
          <t>Safe state and auditable record</t>
        </is>
      </c>
      <c r="K63" s="6" t="inlineStr">
        <is>
          <t>SC-B0 vocabulary preserved; junction legs added for T1/X1</t>
        </is>
      </c>
    </row>
    <row r="64" ht="30" customHeight="1">
      <c r="A64" s="6" t="inlineStr">
        <is>
          <t>SC-X1-S13</t>
        </is>
      </c>
      <c r="B64" s="6" t="inlineStr">
        <is>
          <t>SC-X1</t>
        </is>
      </c>
      <c r="C64" s="6" t="inlineStr">
        <is>
          <t>Pedestrian enters during WAIT</t>
        </is>
      </c>
      <c r="D64" s="6" t="inlineStr">
        <is>
          <t>Actors enter monitored approaches</t>
        </is>
      </c>
      <c r="E64" s="6" t="inlineStr">
        <is>
          <t>Demand or abnormal movement begins</t>
        </is>
      </c>
      <c r="F64" s="6" t="inlineStr">
        <is>
          <t>Pedestrian enters during WAIT indication is correlated</t>
        </is>
      </c>
      <c r="G64" s="6" t="inlineStr">
        <is>
          <t>Risk state raised; WALK remains gated</t>
        </is>
      </c>
      <c r="H64" s="6" t="inlineStr">
        <is>
          <t>Layout-specific path convergence is evaluated</t>
        </is>
      </c>
      <c r="I64" s="6" t="inlineStr">
        <is>
          <t>STOP/HOLD or protected WALK after clearance</t>
        </is>
      </c>
      <c r="J64" s="6" t="inlineStr">
        <is>
          <t>Safe state and auditable record</t>
        </is>
      </c>
      <c r="K64" s="6" t="inlineStr">
        <is>
          <t>SC-B0 vocabulary preserved; junction legs added for T1/X1</t>
        </is>
      </c>
    </row>
    <row r="65" ht="30" customHeight="1">
      <c r="A65" s="6" t="inlineStr">
        <is>
          <t>SC-X1-S14</t>
        </is>
      </c>
      <c r="B65" s="6" t="inlineStr">
        <is>
          <t>SC-X1</t>
        </is>
      </c>
      <c r="C65" s="6" t="inlineStr">
        <is>
          <t>Late pedestrian entry</t>
        </is>
      </c>
      <c r="D65" s="6" t="inlineStr">
        <is>
          <t>Actors enter monitored approaches</t>
        </is>
      </c>
      <c r="E65" s="6" t="inlineStr">
        <is>
          <t>Demand or abnormal movement begins</t>
        </is>
      </c>
      <c r="F65" s="6" t="inlineStr">
        <is>
          <t>Late pedestrian entry indication is correlated</t>
        </is>
      </c>
      <c r="G65" s="6" t="inlineStr">
        <is>
          <t>Risk state raised; WALK remains gated</t>
        </is>
      </c>
      <c r="H65" s="6" t="inlineStr">
        <is>
          <t>Layout-specific path convergence is evaluated</t>
        </is>
      </c>
      <c r="I65" s="6" t="inlineStr">
        <is>
          <t>STOP/HOLD or protected WALK after clearance</t>
        </is>
      </c>
      <c r="J65" s="6" t="inlineStr">
        <is>
          <t>Safe state and auditable record</t>
        </is>
      </c>
      <c r="K65" s="6" t="inlineStr">
        <is>
          <t>SC-B0 vocabulary preserved; junction legs added for T1/X1</t>
        </is>
      </c>
    </row>
    <row r="66" ht="30" customHeight="1">
      <c r="A66" s="6" t="inlineStr">
        <is>
          <t>SC-X1-S15</t>
        </is>
      </c>
      <c r="B66" s="6" t="inlineStr">
        <is>
          <t>SC-X1</t>
        </is>
      </c>
      <c r="C66" s="6" t="inlineStr">
        <is>
          <t>Slow or mobility-impaired pedestrian</t>
        </is>
      </c>
      <c r="D66" s="6" t="inlineStr">
        <is>
          <t>Actors enter monitored approaches</t>
        </is>
      </c>
      <c r="E66" s="6" t="inlineStr">
        <is>
          <t>Demand or abnormal movement begins</t>
        </is>
      </c>
      <c r="F66" s="6" t="inlineStr">
        <is>
          <t>Slow or mobility-impaired pedestrian indication is correlated</t>
        </is>
      </c>
      <c r="G66" s="6" t="inlineStr">
        <is>
          <t>Risk state raised; WALK remains gated</t>
        </is>
      </c>
      <c r="H66" s="6" t="inlineStr">
        <is>
          <t>Layout-specific path convergence is evaluated</t>
        </is>
      </c>
      <c r="I66" s="6" t="inlineStr">
        <is>
          <t>STOP/HOLD or protected WALK after clearance</t>
        </is>
      </c>
      <c r="J66" s="6" t="inlineStr">
        <is>
          <t>Safe state and auditable record</t>
        </is>
      </c>
      <c r="K66" s="6" t="inlineStr">
        <is>
          <t>SC-B0 vocabulary preserved; junction legs added for T1/X1</t>
        </is>
      </c>
    </row>
    <row r="67" ht="30" customHeight="1">
      <c r="A67" s="6" t="inlineStr">
        <is>
          <t>SC-X1-S16</t>
        </is>
      </c>
      <c r="B67" s="6" t="inlineStr">
        <is>
          <t>SC-X1</t>
        </is>
      </c>
      <c r="C67" s="6" t="inlineStr">
        <is>
          <t>Child running into crossing</t>
        </is>
      </c>
      <c r="D67" s="6" t="inlineStr">
        <is>
          <t>Actors enter monitored approaches</t>
        </is>
      </c>
      <c r="E67" s="6" t="inlineStr">
        <is>
          <t>Demand or abnormal movement begins</t>
        </is>
      </c>
      <c r="F67" s="6" t="inlineStr">
        <is>
          <t>Child running into crossing indication is correlated</t>
        </is>
      </c>
      <c r="G67" s="6" t="inlineStr">
        <is>
          <t>Risk state raised; WALK remains gated</t>
        </is>
      </c>
      <c r="H67" s="6" t="inlineStr">
        <is>
          <t>Layout-specific path convergence is evaluated</t>
        </is>
      </c>
      <c r="I67" s="6" t="inlineStr">
        <is>
          <t>STOP/HOLD or protected WALK after clearance</t>
        </is>
      </c>
      <c r="J67" s="6" t="inlineStr">
        <is>
          <t>Safe state and auditable record</t>
        </is>
      </c>
      <c r="K67" s="6" t="inlineStr">
        <is>
          <t>SC-B0 vocabulary preserved; junction legs added for T1/X1</t>
        </is>
      </c>
    </row>
    <row r="68" ht="30" customHeight="1">
      <c r="A68" s="6" t="inlineStr">
        <is>
          <t>SC-X1-S17</t>
        </is>
      </c>
      <c r="B68" s="6" t="inlineStr">
        <is>
          <t>SC-X1</t>
        </is>
      </c>
      <c r="C68" s="6" t="inlineStr">
        <is>
          <t>Group of schoolchildren</t>
        </is>
      </c>
      <c r="D68" s="6" t="inlineStr">
        <is>
          <t>Actors enter monitored approaches</t>
        </is>
      </c>
      <c r="E68" s="6" t="inlineStr">
        <is>
          <t>Demand or abnormal movement begins</t>
        </is>
      </c>
      <c r="F68" s="6" t="inlineStr">
        <is>
          <t>Group of schoolchildren indication is correlated</t>
        </is>
      </c>
      <c r="G68" s="6" t="inlineStr">
        <is>
          <t>Risk state raised; WALK remains gated</t>
        </is>
      </c>
      <c r="H68" s="6" t="inlineStr">
        <is>
          <t>Layout-specific path convergence is evaluated</t>
        </is>
      </c>
      <c r="I68" s="6" t="inlineStr">
        <is>
          <t>STOP/HOLD or protected WALK after clearance</t>
        </is>
      </c>
      <c r="J68" s="6" t="inlineStr">
        <is>
          <t>Safe state and auditable record</t>
        </is>
      </c>
      <c r="K68" s="6" t="inlineStr">
        <is>
          <t>SC-B0 vocabulary preserved; junction legs added for T1/X1</t>
        </is>
      </c>
    </row>
    <row r="69" ht="30" customHeight="1">
      <c r="A69" s="6" t="inlineStr">
        <is>
          <t>SC-X1-S18</t>
        </is>
      </c>
      <c r="B69" s="6" t="inlineStr">
        <is>
          <t>SC-X1</t>
        </is>
      </c>
      <c r="C69" s="6" t="inlineStr">
        <is>
          <t>Bus/heavy vehicle blocks camera</t>
        </is>
      </c>
      <c r="D69" s="6" t="inlineStr">
        <is>
          <t>Actors enter monitored approaches</t>
        </is>
      </c>
      <c r="E69" s="6" t="inlineStr">
        <is>
          <t>Demand or abnormal movement begins</t>
        </is>
      </c>
      <c r="F69" s="6" t="inlineStr">
        <is>
          <t>Bus/heavy vehicle blocks camera indication is correlated</t>
        </is>
      </c>
      <c r="G69" s="6" t="inlineStr">
        <is>
          <t>Risk state raised; WALK remains gated</t>
        </is>
      </c>
      <c r="H69" s="6" t="inlineStr">
        <is>
          <t>Layout-specific path convergence is evaluated</t>
        </is>
      </c>
      <c r="I69" s="6" t="inlineStr">
        <is>
          <t>STOP/HOLD or protected WALK after clearance</t>
        </is>
      </c>
      <c r="J69" s="6" t="inlineStr">
        <is>
          <t>Safe state and auditable record</t>
        </is>
      </c>
      <c r="K69" s="6" t="inlineStr">
        <is>
          <t>SC-B0 vocabulary preserved; junction legs added for T1/X1</t>
        </is>
      </c>
    </row>
    <row r="70" ht="30" customHeight="1">
      <c r="A70" s="6" t="inlineStr">
        <is>
          <t>SC-X1-S19</t>
        </is>
      </c>
      <c r="B70" s="6" t="inlineStr">
        <is>
          <t>SC-X1</t>
        </is>
      </c>
      <c r="C70" s="6" t="inlineStr">
        <is>
          <t>Sensor false positive</t>
        </is>
      </c>
      <c r="D70" s="6" t="inlineStr">
        <is>
          <t>Actors enter monitored approaches</t>
        </is>
      </c>
      <c r="E70" s="6" t="inlineStr">
        <is>
          <t>Demand or abnormal movement begins</t>
        </is>
      </c>
      <c r="F70" s="6" t="inlineStr">
        <is>
          <t>Sensor false positive indication is correlated</t>
        </is>
      </c>
      <c r="G70" s="6" t="inlineStr">
        <is>
          <t>Risk state raised; WALK remains gated</t>
        </is>
      </c>
      <c r="H70" s="6" t="inlineStr">
        <is>
          <t>Layout-specific path convergence is evaluated</t>
        </is>
      </c>
      <c r="I70" s="6" t="inlineStr">
        <is>
          <t>STOP/HOLD or protected WALK after clearance</t>
        </is>
      </c>
      <c r="J70" s="6" t="inlineStr">
        <is>
          <t>Safe state and auditable record</t>
        </is>
      </c>
      <c r="K70" s="6" t="inlineStr">
        <is>
          <t>SC-B0 vocabulary preserved; junction legs added for T1/X1</t>
        </is>
      </c>
    </row>
    <row r="71" ht="30" customHeight="1">
      <c r="A71" s="6" t="inlineStr">
        <is>
          <t>SC-X1-S20</t>
        </is>
      </c>
      <c r="B71" s="6" t="inlineStr">
        <is>
          <t>SC-X1</t>
        </is>
      </c>
      <c r="C71" s="6" t="inlineStr">
        <is>
          <t>Sensor false negative</t>
        </is>
      </c>
      <c r="D71" s="6" t="inlineStr">
        <is>
          <t>Actors enter monitored approaches</t>
        </is>
      </c>
      <c r="E71" s="6" t="inlineStr">
        <is>
          <t>Demand or abnormal movement begins</t>
        </is>
      </c>
      <c r="F71" s="6" t="inlineStr">
        <is>
          <t>Sensor false negative indication is correlated</t>
        </is>
      </c>
      <c r="G71" s="6" t="inlineStr">
        <is>
          <t>Risk state raised; WALK remains gated</t>
        </is>
      </c>
      <c r="H71" s="6" t="inlineStr">
        <is>
          <t>Layout-specific path convergence is evaluated</t>
        </is>
      </c>
      <c r="I71" s="6" t="inlineStr">
        <is>
          <t>STOP/HOLD or protected WALK after clearance</t>
        </is>
      </c>
      <c r="J71" s="6" t="inlineStr">
        <is>
          <t>Safe state and auditable record</t>
        </is>
      </c>
      <c r="K71" s="6" t="inlineStr">
        <is>
          <t>SC-B0 vocabulary preserved; junction legs added for T1/X1</t>
        </is>
      </c>
    </row>
    <row r="72" ht="30" customHeight="1">
      <c r="A72" s="6" t="inlineStr">
        <is>
          <t>SC-X1-S21</t>
        </is>
      </c>
      <c r="B72" s="6" t="inlineStr">
        <is>
          <t>SC-X1</t>
        </is>
      </c>
      <c r="C72" s="6" t="inlineStr">
        <is>
          <t>Signal-controller fault</t>
        </is>
      </c>
      <c r="D72" s="6" t="inlineStr">
        <is>
          <t>Actors enter monitored approaches</t>
        </is>
      </c>
      <c r="E72" s="6" t="inlineStr">
        <is>
          <t>Demand or abnormal movement begins</t>
        </is>
      </c>
      <c r="F72" s="6" t="inlineStr">
        <is>
          <t>Signal-controller fault indication is correlated</t>
        </is>
      </c>
      <c r="G72" s="6" t="inlineStr">
        <is>
          <t>Risk state raised; WALK remains gated</t>
        </is>
      </c>
      <c r="H72" s="6" t="inlineStr">
        <is>
          <t>Layout-specific path convergence is evaluated</t>
        </is>
      </c>
      <c r="I72" s="6" t="inlineStr">
        <is>
          <t>STOP/HOLD or protected WALK after clearance</t>
        </is>
      </c>
      <c r="J72" s="6" t="inlineStr">
        <is>
          <t>Safe state and auditable record</t>
        </is>
      </c>
      <c r="K72" s="6" t="inlineStr">
        <is>
          <t>SC-B0 vocabulary preserved; junction legs added for T1/X1</t>
        </is>
      </c>
    </row>
    <row r="73" ht="30" customHeight="1">
      <c r="A73" s="6" t="inlineStr">
        <is>
          <t>SC-X1-S22</t>
        </is>
      </c>
      <c r="B73" s="6" t="inlineStr">
        <is>
          <t>SC-X1</t>
        </is>
      </c>
      <c r="C73" s="6" t="inlineStr">
        <is>
          <t>Power or communications failure</t>
        </is>
      </c>
      <c r="D73" s="6" t="inlineStr">
        <is>
          <t>Actors enter monitored approaches</t>
        </is>
      </c>
      <c r="E73" s="6" t="inlineStr">
        <is>
          <t>Demand or abnormal movement begins</t>
        </is>
      </c>
      <c r="F73" s="6" t="inlineStr">
        <is>
          <t>Power or communications failure indication is correlated</t>
        </is>
      </c>
      <c r="G73" s="6" t="inlineStr">
        <is>
          <t>Risk state raised; WALK remains gated</t>
        </is>
      </c>
      <c r="H73" s="6" t="inlineStr">
        <is>
          <t>Layout-specific path convergence is evaluated</t>
        </is>
      </c>
      <c r="I73" s="6" t="inlineStr">
        <is>
          <t>STOP/HOLD or protected WALK after clearance</t>
        </is>
      </c>
      <c r="J73" s="6" t="inlineStr">
        <is>
          <t>Safe state and auditable record</t>
        </is>
      </c>
      <c r="K73" s="6" t="inlineStr">
        <is>
          <t>SC-B0 vocabulary preserved; junction legs added for T1/X1</t>
        </is>
      </c>
    </row>
    <row r="74" ht="30" customHeight="1">
      <c r="A74" s="6" t="inlineStr">
        <is>
          <t>SC-X1-S23</t>
        </is>
      </c>
      <c r="B74" s="6" t="inlineStr">
        <is>
          <t>SC-X1</t>
        </is>
      </c>
      <c r="C74" s="6" t="inlineStr">
        <is>
          <t>Collision or life-threatening incident</t>
        </is>
      </c>
      <c r="D74" s="6" t="inlineStr">
        <is>
          <t>Actors enter monitored approaches</t>
        </is>
      </c>
      <c r="E74" s="6" t="inlineStr">
        <is>
          <t>Demand or abnormal movement begins</t>
        </is>
      </c>
      <c r="F74" s="6" t="inlineStr">
        <is>
          <t>Collision or life-threatening incident indication is correlated</t>
        </is>
      </c>
      <c r="G74" s="6" t="inlineStr">
        <is>
          <t>Risk state raised; WALK remains gated</t>
        </is>
      </c>
      <c r="H74" s="6" t="inlineStr">
        <is>
          <t>Layout-specific path convergence is evaluated</t>
        </is>
      </c>
      <c r="I74" s="6" t="inlineStr">
        <is>
          <t>STOP/HOLD or protected WALK after clearance</t>
        </is>
      </c>
      <c r="J74" s="6" t="inlineStr">
        <is>
          <t>Safe state and auditable record</t>
        </is>
      </c>
      <c r="K74" s="6" t="inlineStr">
        <is>
          <t>SC-B0 vocabulary preserved; junction legs added for T1/X1</t>
        </is>
      </c>
    </row>
    <row r="75" ht="30" customHeight="1">
      <c r="A75" s="6" t="inlineStr">
        <is>
          <t>SC-X1-S24</t>
        </is>
      </c>
      <c r="B75" s="6" t="inlineStr">
        <is>
          <t>SC-X1</t>
        </is>
      </c>
      <c r="C75" s="6" t="inlineStr">
        <is>
          <t>Emergency-vehicle approach</t>
        </is>
      </c>
      <c r="D75" s="6" t="inlineStr">
        <is>
          <t>Actors enter monitored approaches</t>
        </is>
      </c>
      <c r="E75" s="6" t="inlineStr">
        <is>
          <t>Demand or abnormal movement begins</t>
        </is>
      </c>
      <c r="F75" s="6" t="inlineStr">
        <is>
          <t>Emergency-vehicle approach indication is correlated</t>
        </is>
      </c>
      <c r="G75" s="6" t="inlineStr">
        <is>
          <t>Risk state raised; WALK remains gated</t>
        </is>
      </c>
      <c r="H75" s="6" t="inlineStr">
        <is>
          <t>Layout-specific path convergence is evaluated</t>
        </is>
      </c>
      <c r="I75" s="6" t="inlineStr">
        <is>
          <t>STOP/HOLD or protected WALK after clearance</t>
        </is>
      </c>
      <c r="J75" s="6" t="inlineStr">
        <is>
          <t>Safe state and auditable record</t>
        </is>
      </c>
      <c r="K75" s="6" t="inlineStr">
        <is>
          <t>SC-B0 vocabulary preserved; junction legs added for T1/X1</t>
        </is>
      </c>
    </row>
  </sheetData>
  <mergeCells count="2">
    <mergeCell ref="A2:K2"/>
    <mergeCell ref="A1:K1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8" customWidth="1" min="4" max="4"/>
    <col width="15" customWidth="1" min="5" max="5"/>
    <col width="14" customWidth="1" min="6" max="6"/>
    <col width="14" customWidth="1" min="7" max="7"/>
    <col width="48" customWidth="1" min="8" max="8"/>
    <col width="18" customWidth="1" min="9" max="9"/>
    <col width="17" customWidth="1" min="10" max="10"/>
    <col width="14" customWidth="1" min="11" max="11"/>
    <col width="24" customWidth="1" min="12" max="12"/>
    <col width="20" customWidth="1" min="14" max="14"/>
    <col width="12" customWidth="1" min="15" max="15"/>
  </cols>
  <sheetData>
    <row r="1" ht="34" customHeight="1">
      <c r="A1" s="1" t="inlineStr">
        <is>
          <t>Conflict and Risk Register</t>
        </is>
      </c>
    </row>
    <row r="2" ht="30" customHeight="1">
      <c r="A2" s="2" t="inlineStr">
        <is>
          <t>Likelihood and severity are preliminary inputs. Residual risk requires validation after mitigation.</t>
        </is>
      </c>
    </row>
    <row r="3" ht="32" customHeight="1">
      <c r="A3" s="5" t="inlineStr">
        <is>
          <t>Risk ID</t>
        </is>
      </c>
      <c r="B3" s="5" t="inlineStr">
        <is>
          <t>Configuration</t>
        </is>
      </c>
      <c r="C3" s="5" t="inlineStr">
        <is>
          <t>Hazard</t>
        </is>
      </c>
      <c r="D3" s="5" t="inlineStr">
        <is>
          <t>Condition</t>
        </is>
      </c>
      <c r="E3" s="5" t="inlineStr">
        <is>
          <t>Likelihood 1-5</t>
        </is>
      </c>
      <c r="F3" s="5" t="inlineStr">
        <is>
          <t>Severity 1-5</t>
        </is>
      </c>
      <c r="G3" s="5" t="inlineStr">
        <is>
          <t>Inherent risk</t>
        </is>
      </c>
      <c r="H3" s="5" t="inlineStr">
        <is>
          <t>Mitigation</t>
        </is>
      </c>
      <c r="I3" s="5" t="inlineStr">
        <is>
          <t>Residual likelihood</t>
        </is>
      </c>
      <c r="J3" s="5" t="inlineStr">
        <is>
          <t>Residual severity</t>
        </is>
      </c>
      <c r="K3" s="5" t="inlineStr">
        <is>
          <t>Residual risk</t>
        </is>
      </c>
      <c r="L3" s="5" t="inlineStr">
        <is>
          <t>Owner</t>
        </is>
      </c>
      <c r="N3" t="inlineStr">
        <is>
          <t>Risk band</t>
        </is>
      </c>
      <c r="O3" t="inlineStr">
        <is>
          <t>Count</t>
        </is>
      </c>
    </row>
    <row r="4" ht="30" customHeight="1">
      <c r="A4" s="6" t="inlineStr">
        <is>
          <t>R01</t>
        </is>
      </c>
      <c r="B4" s="6" t="inlineStr">
        <is>
          <t>SC-T1</t>
        </is>
      </c>
      <c r="C4" s="6" t="inlineStr">
        <is>
          <t>Turning vehicle conflicts with crossing</t>
        </is>
      </c>
      <c r="D4" s="6" t="inlineStr">
        <is>
          <t>Normal/peak</t>
        </is>
      </c>
      <c r="E4" s="13" t="n">
        <v>4</v>
      </c>
      <c r="F4" s="13" t="n">
        <v>5</v>
      </c>
      <c r="G4" s="6">
        <f>E4*F4</f>
        <v/>
      </c>
      <c r="H4" s="6" t="inlineStr">
        <is>
          <t>Separate phase; setback crossing; detection; stop proof</t>
        </is>
      </c>
      <c r="I4" s="13" t="n">
        <v>2</v>
      </c>
      <c r="J4" s="13" t="n">
        <v>5</v>
      </c>
      <c r="K4" s="6">
        <f>I4*J4</f>
        <v/>
      </c>
      <c r="L4" s="6" t="inlineStr">
        <is>
          <t>MPAJ / design team</t>
        </is>
      </c>
      <c r="N4" t="inlineStr">
        <is>
          <t>Critical (15-25)</t>
        </is>
      </c>
      <c r="O4">
        <f>COUNTIF(G4:G15,"&gt;=15")</f>
        <v/>
      </c>
    </row>
    <row r="5" ht="30" customHeight="1">
      <c r="A5" s="6" t="inlineStr">
        <is>
          <t>R02</t>
        </is>
      </c>
      <c r="B5" s="6" t="inlineStr">
        <is>
          <t>SC-T1</t>
        </is>
      </c>
      <c r="C5" s="6" t="inlineStr">
        <is>
          <t>Side-road queue blocks crossing</t>
        </is>
      </c>
      <c r="D5" s="6" t="inlineStr">
        <is>
          <t>Peak/school</t>
        </is>
      </c>
      <c r="E5" s="13" t="n">
        <v>3</v>
      </c>
      <c r="F5" s="13" t="n">
        <v>4</v>
      </c>
      <c r="G5" s="6">
        <f>E5*F5</f>
        <v/>
      </c>
      <c r="H5" s="6" t="inlineStr">
        <is>
          <t>Queue detection; keep-clear; parking management</t>
        </is>
      </c>
      <c r="I5" s="13" t="n">
        <v>2</v>
      </c>
      <c r="J5" s="13" t="n">
        <v>4</v>
      </c>
      <c r="K5" s="6">
        <f>I5*J5</f>
        <v/>
      </c>
      <c r="L5" s="6" t="inlineStr">
        <is>
          <t>MPAJ / design team</t>
        </is>
      </c>
      <c r="N5" t="inlineStr">
        <is>
          <t>High (8-14)</t>
        </is>
      </c>
      <c r="O5">
        <f>COUNTIFS(G4:G15,"&gt;=8",G4:G15,"&lt;15")</f>
        <v/>
      </c>
    </row>
    <row r="6" ht="30" customHeight="1">
      <c r="A6" s="6" t="inlineStr">
        <is>
          <t>R03</t>
        </is>
      </c>
      <c r="B6" s="6" t="inlineStr">
        <is>
          <t>SC-T1</t>
        </is>
      </c>
      <c r="C6" s="6" t="inlineStr">
        <is>
          <t>Sightline obscured by parking</t>
        </is>
      </c>
      <c r="D6" s="6" t="inlineStr">
        <is>
          <t>School/night</t>
        </is>
      </c>
      <c r="E6" s="13" t="n">
        <v>4</v>
      </c>
      <c r="F6" s="13" t="n">
        <v>5</v>
      </c>
      <c r="G6" s="6">
        <f>E6*F6</f>
        <v/>
      </c>
      <c r="H6" s="6" t="inlineStr">
        <is>
          <t>Keep-clear zone; relocation; lighting; enforcement</t>
        </is>
      </c>
      <c r="I6" s="13" t="n">
        <v>2</v>
      </c>
      <c r="J6" s="13" t="n">
        <v>5</v>
      </c>
      <c r="K6" s="6">
        <f>I6*J6</f>
        <v/>
      </c>
      <c r="L6" s="6" t="inlineStr">
        <is>
          <t>MPAJ / design team</t>
        </is>
      </c>
      <c r="N6" t="inlineStr">
        <is>
          <t>Moderate (1-7)</t>
        </is>
      </c>
      <c r="O6">
        <f>COUNTIFS(G4:G15,"&gt;=1",G4:G15,"&lt;8")</f>
        <v/>
      </c>
    </row>
    <row r="7" ht="30" customHeight="1">
      <c r="A7" s="6" t="inlineStr">
        <is>
          <t>R04</t>
        </is>
      </c>
      <c r="B7" s="6" t="inlineStr">
        <is>
          <t>SC-X1</t>
        </is>
      </c>
      <c r="C7" s="6" t="inlineStr">
        <is>
          <t>Multiple turn conflicts during WALK</t>
        </is>
      </c>
      <c r="D7" s="6" t="inlineStr">
        <is>
          <t>All periods</t>
        </is>
      </c>
      <c r="E7" s="13" t="n">
        <v>5</v>
      </c>
      <c r="F7" s="13" t="n">
        <v>5</v>
      </c>
      <c r="G7" s="6">
        <f>E7*F7</f>
        <v/>
      </c>
      <c r="H7" s="6" t="inlineStr">
        <is>
          <t>Fully protected pedestrian phase; prohibit permissive turns</t>
        </is>
      </c>
      <c r="I7" s="13" t="n">
        <v>2</v>
      </c>
      <c r="J7" s="13" t="n">
        <v>5</v>
      </c>
      <c r="K7" s="6">
        <f>I7*J7</f>
        <v/>
      </c>
      <c r="L7" s="6" t="inlineStr">
        <is>
          <t>MPAJ / design team</t>
        </is>
      </c>
    </row>
    <row r="8" ht="30" customHeight="1">
      <c r="A8" s="6" t="inlineStr">
        <is>
          <t>R05</t>
        </is>
      </c>
      <c r="B8" s="6" t="inlineStr">
        <is>
          <t>SC-X1</t>
        </is>
      </c>
      <c r="C8" s="6" t="inlineStr">
        <is>
          <t>Queue spillback across multiple legs</t>
        </is>
      </c>
      <c r="D8" s="6" t="inlineStr">
        <is>
          <t>Peak</t>
        </is>
      </c>
      <c r="E8" s="13" t="n">
        <v>4</v>
      </c>
      <c r="F8" s="13" t="n">
        <v>4</v>
      </c>
      <c r="G8" s="6">
        <f>E8*F8</f>
        <v/>
      </c>
      <c r="H8" s="6" t="inlineStr">
        <is>
          <t>Capacity study; queue detection; coordination</t>
        </is>
      </c>
      <c r="I8" s="13" t="n">
        <v>2</v>
      </c>
      <c r="J8" s="13" t="n">
        <v>4</v>
      </c>
      <c r="K8" s="6">
        <f>I8*J8</f>
        <v/>
      </c>
      <c r="L8" s="6" t="inlineStr">
        <is>
          <t>MPAJ / design team</t>
        </is>
      </c>
    </row>
    <row r="9" ht="30" customHeight="1">
      <c r="A9" s="6" t="inlineStr">
        <is>
          <t>R06</t>
        </is>
      </c>
      <c r="B9" s="6" t="inlineStr">
        <is>
          <t>SC-X1</t>
        </is>
      </c>
      <c r="C9" s="6" t="inlineStr">
        <is>
          <t>Pedestrian delay causes non-compliance</t>
        </is>
      </c>
      <c r="D9" s="6" t="inlineStr">
        <is>
          <t>Peak</t>
        </is>
      </c>
      <c r="E9" s="13" t="n">
        <v>4</v>
      </c>
      <c r="F9" s="13" t="n">
        <v>4</v>
      </c>
      <c r="G9" s="6">
        <f>E9*F9</f>
        <v/>
      </c>
      <c r="H9" s="6" t="inlineStr">
        <is>
          <t>Demand-responsive timing within safe limits</t>
        </is>
      </c>
      <c r="I9" s="13" t="n">
        <v>2</v>
      </c>
      <c r="J9" s="13" t="n">
        <v>4</v>
      </c>
      <c r="K9" s="6">
        <f>I9*J9</f>
        <v/>
      </c>
      <c r="L9" s="6" t="inlineStr">
        <is>
          <t>MPAJ / design team</t>
        </is>
      </c>
    </row>
    <row r="10" ht="30" customHeight="1">
      <c r="A10" s="6" t="inlineStr">
        <is>
          <t>R07</t>
        </is>
      </c>
      <c r="B10" s="6" t="inlineStr">
        <is>
          <t>All</t>
        </is>
      </c>
      <c r="C10" s="6" t="inlineStr">
        <is>
          <t>Slow pedestrian not clear at phase end</t>
        </is>
      </c>
      <c r="D10" s="6" t="inlineStr">
        <is>
          <t>All periods</t>
        </is>
      </c>
      <c r="E10" s="13" t="n">
        <v>3</v>
      </c>
      <c r="F10" s="13" t="n">
        <v>5</v>
      </c>
      <c r="G10" s="6">
        <f>E10*F10</f>
        <v/>
      </c>
      <c r="H10" s="6" t="inlineStr">
        <is>
          <t>Presence extension; conservative clearance; refuge if justified</t>
        </is>
      </c>
      <c r="I10" s="13" t="n">
        <v>1</v>
      </c>
      <c r="J10" s="13" t="n">
        <v>5</v>
      </c>
      <c r="K10" s="6">
        <f>I10*J10</f>
        <v/>
      </c>
      <c r="L10" s="6" t="inlineStr">
        <is>
          <t>MPAJ / design team</t>
        </is>
      </c>
    </row>
    <row r="11" ht="30" customHeight="1">
      <c r="A11" s="6" t="inlineStr">
        <is>
          <t>R08</t>
        </is>
      </c>
      <c r="B11" s="6" t="inlineStr">
        <is>
          <t>All</t>
        </is>
      </c>
      <c r="C11" s="6" t="inlineStr">
        <is>
          <t>Sensor false negative</t>
        </is>
      </c>
      <c r="D11" s="6" t="inlineStr">
        <is>
          <t>Night/weather/occlusion</t>
        </is>
      </c>
      <c r="E11" s="13" t="n">
        <v>3</v>
      </c>
      <c r="F11" s="13" t="n">
        <v>5</v>
      </c>
      <c r="G11" s="6">
        <f>E11*F11</f>
        <v/>
      </c>
      <c r="H11" s="6" t="inlineStr">
        <is>
          <t>Redundancy; conservative fail-safe; performance test</t>
        </is>
      </c>
      <c r="I11" s="13" t="n">
        <v>1</v>
      </c>
      <c r="J11" s="13" t="n">
        <v>5</v>
      </c>
      <c r="K11" s="6">
        <f>I11*J11</f>
        <v/>
      </c>
      <c r="L11" s="6" t="inlineStr">
        <is>
          <t>MPAJ / design team</t>
        </is>
      </c>
    </row>
    <row r="12" ht="30" customHeight="1">
      <c r="A12" s="6" t="inlineStr">
        <is>
          <t>R09</t>
        </is>
      </c>
      <c r="B12" s="6" t="inlineStr">
        <is>
          <t>All</t>
        </is>
      </c>
      <c r="C12" s="6" t="inlineStr">
        <is>
          <t>Controller/network compromise</t>
        </is>
      </c>
      <c r="D12" s="6" t="inlineStr">
        <is>
          <t>Degraded/cyber</t>
        </is>
      </c>
      <c r="E12" s="13" t="n">
        <v>3</v>
      </c>
      <c r="F12" s="13" t="n">
        <v>5</v>
      </c>
      <c r="G12" s="6">
        <f>E12*F12</f>
        <v/>
      </c>
      <c r="H12" s="6" t="inlineStr">
        <is>
          <t>Safety isolation; segmentation; signed config; RBAC</t>
        </is>
      </c>
      <c r="I12" s="13" t="n">
        <v>1</v>
      </c>
      <c r="J12" s="13" t="n">
        <v>5</v>
      </c>
      <c r="K12" s="6">
        <f>I12*J12</f>
        <v/>
      </c>
      <c r="L12" s="6" t="inlineStr">
        <is>
          <t>MPAJ / design team</t>
        </is>
      </c>
    </row>
    <row r="13" ht="30" customHeight="1">
      <c r="A13" s="6" t="inlineStr">
        <is>
          <t>R10</t>
        </is>
      </c>
      <c r="B13" s="6" t="inlineStr">
        <is>
          <t>All</t>
        </is>
      </c>
      <c r="C13" s="6" t="inlineStr">
        <is>
          <t>Unlawful ANPR processing</t>
        </is>
      </c>
      <c r="D13" s="6" t="inlineStr">
        <is>
          <t>Operations</t>
        </is>
      </c>
      <c r="E13" s="13" t="n">
        <v>3</v>
      </c>
      <c r="F13" s="13" t="n">
        <v>4</v>
      </c>
      <c r="G13" s="6">
        <f>E13*F13</f>
        <v/>
      </c>
      <c r="H13" s="6" t="inlineStr">
        <is>
          <t>Disable until legal authority/DPIA/retention approved</t>
        </is>
      </c>
      <c r="I13" s="13" t="n">
        <v>1</v>
      </c>
      <c r="J13" s="13" t="n">
        <v>4</v>
      </c>
      <c r="K13" s="6">
        <f>I13*J13</f>
        <v/>
      </c>
      <c r="L13" s="6" t="inlineStr">
        <is>
          <t>MPAJ / design team</t>
        </is>
      </c>
    </row>
    <row r="14" ht="30" customHeight="1">
      <c r="A14" s="6" t="inlineStr">
        <is>
          <t>R11</t>
        </is>
      </c>
      <c r="B14" s="6" t="inlineStr">
        <is>
          <t>All</t>
        </is>
      </c>
      <c r="C14" s="6" t="inlineStr">
        <is>
          <t>Power or communications failure</t>
        </is>
      </c>
      <c r="D14" s="6" t="inlineStr">
        <is>
          <t>Failure</t>
        </is>
      </c>
      <c r="E14" s="13" t="n">
        <v>3</v>
      </c>
      <c r="F14" s="13" t="n">
        <v>5</v>
      </c>
      <c r="G14" s="6">
        <f>E14*F14</f>
        <v/>
      </c>
      <c r="H14" s="6" t="inlineStr">
        <is>
          <t>UPS; local fixed safe plan; health alarm; manual control</t>
        </is>
      </c>
      <c r="I14" s="13" t="n">
        <v>1</v>
      </c>
      <c r="J14" s="13" t="n">
        <v>5</v>
      </c>
      <c r="K14" s="6">
        <f>I14*J14</f>
        <v/>
      </c>
      <c r="L14" s="6" t="inlineStr">
        <is>
          <t>MPAJ / design team</t>
        </is>
      </c>
    </row>
    <row r="15" ht="30" customHeight="1">
      <c r="A15" s="6" t="inlineStr">
        <is>
          <t>R12</t>
        </is>
      </c>
      <c r="B15" s="6" t="inlineStr">
        <is>
          <t>All</t>
        </is>
      </c>
      <c r="C15" s="6" t="inlineStr">
        <is>
          <t>Emergency route obstructed</t>
        </is>
      </c>
      <c r="D15" s="6" t="inlineStr">
        <is>
          <t>Emergency</t>
        </is>
      </c>
      <c r="E15" s="13" t="n">
        <v>2</v>
      </c>
      <c r="F15" s="13" t="n">
        <v>5</v>
      </c>
      <c r="G15" s="6">
        <f>E15*F15</f>
        <v/>
      </c>
      <c r="H15" s="6" t="inlineStr">
        <is>
          <t>Agency consultation; priority plan; fail-safe test</t>
        </is>
      </c>
      <c r="I15" s="13" t="n">
        <v>1</v>
      </c>
      <c r="J15" s="13" t="n">
        <v>5</v>
      </c>
      <c r="K15" s="6">
        <f>I15*J15</f>
        <v/>
      </c>
      <c r="L15" s="6" t="inlineStr">
        <is>
          <t>MPAJ / design team</t>
        </is>
      </c>
    </row>
  </sheetData>
  <mergeCells count="2">
    <mergeCell ref="A2:L2"/>
    <mergeCell ref="A1:L1"/>
  </mergeCells>
  <conditionalFormatting sqref="G4:G15">
    <cfRule type="cellIs" priority="1" operator="greaterThanOrEqual" dxfId="0">
      <formula>15</formula>
    </cfRule>
    <cfRule type="cellIs" priority="2" operator="between" dxfId="1">
      <formula>8</formula>
      <formula>14</formula>
    </cfRule>
  </conditionalFormatting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R2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38" customWidth="1" min="3" max="3"/>
    <col width="25" customWidth="1" min="4" max="4"/>
    <col width="24" customWidth="1" min="5" max="5"/>
    <col width="24" customWidth="1" min="6" max="6"/>
    <col width="32" customWidth="1" min="7" max="7"/>
    <col width="11" customWidth="1" min="8" max="8"/>
    <col width="18" customWidth="1" min="9" max="9"/>
    <col width="25" customWidth="1" min="10" max="10"/>
    <col width="27" customWidth="1" min="11" max="11"/>
    <col width="22" customWidth="1" min="12" max="12"/>
    <col width="28" customWidth="1" min="13" max="13"/>
    <col width="35" customWidth="1" min="14" max="14"/>
    <col width="34" customWidth="1" min="15" max="15"/>
    <col width="30" customWidth="1" min="16" max="16"/>
    <col width="14" customWidth="1" min="17" max="17"/>
    <col width="35" customWidth="1" min="18" max="18"/>
  </cols>
  <sheetData>
    <row r="1" ht="34" customHeight="1">
      <c r="A1" s="1" t="inlineStr">
        <is>
          <t>Infrastructure Schedule</t>
        </is>
      </c>
    </row>
    <row r="2" ht="30" customHeight="1">
      <c r="A2" s="2" t="inlineStr">
        <is>
          <t>Quantities and exact locations remain design inputs; unnecessary technology is excluded.</t>
        </is>
      </c>
    </row>
    <row r="3" ht="32" customHeight="1">
      <c r="A3" s="5" t="inlineStr">
        <is>
          <t>Module ID</t>
        </is>
      </c>
      <c r="B3" s="5" t="inlineStr">
        <is>
          <t>Module</t>
        </is>
      </c>
      <c r="C3" s="5" t="inlineStr">
        <is>
          <t>Function</t>
        </is>
      </c>
      <c r="D3" s="5" t="inlineStr">
        <is>
          <t>SC-B0 status</t>
        </is>
      </c>
      <c r="E3" s="5" t="inlineStr">
        <is>
          <t>SC-T1 requirement</t>
        </is>
      </c>
      <c r="F3" s="5" t="inlineStr">
        <is>
          <t>SC-X1 requirement</t>
        </is>
      </c>
      <c r="G3" s="5" t="inlineStr">
        <is>
          <t>Proposed location</t>
        </is>
      </c>
      <c r="H3" s="5" t="inlineStr">
        <is>
          <t>Quantity</t>
        </is>
      </c>
      <c r="I3" s="5" t="inlineStr">
        <is>
          <t>Power</t>
        </is>
      </c>
      <c r="J3" s="5" t="inlineStr">
        <is>
          <t>Communications</t>
        </is>
      </c>
      <c r="K3" s="5" t="inlineStr">
        <is>
          <t>Data produced</t>
        </is>
      </c>
      <c r="L3" s="5" t="inlineStr">
        <is>
          <t>Dependency</t>
        </is>
      </c>
      <c r="M3" s="5" t="inlineStr">
        <is>
          <t>Privacy</t>
        </is>
      </c>
      <c r="N3" s="5" t="inlineStr">
        <is>
          <t>Cybersecurity control</t>
        </is>
      </c>
      <c r="O3" s="5" t="inlineStr">
        <is>
          <t>Maintenance</t>
        </is>
      </c>
      <c r="P3" s="5" t="inlineStr">
        <is>
          <t>Safe fallback</t>
        </is>
      </c>
      <c r="Q3" s="5" t="inlineStr">
        <is>
          <t>Cost category</t>
        </is>
      </c>
      <c r="R3" s="5" t="inlineStr">
        <is>
          <t>Evidence / assumption</t>
        </is>
      </c>
    </row>
    <row r="4" ht="30" customHeight="1">
      <c r="A4" s="6" t="inlineStr">
        <is>
          <t>M01</t>
        </is>
      </c>
      <c r="B4" s="6" t="inlineStr">
        <is>
          <t>Traffic-signal controller</t>
        </is>
      </c>
      <c r="C4" s="6" t="inlineStr">
        <is>
          <t>Enforces safety interlocks</t>
        </is>
      </c>
      <c r="D4" s="6" t="inlineStr">
        <is>
          <t>Conceptual simulation logic</t>
        </is>
      </c>
      <c r="E4" s="6" t="inlineStr">
        <is>
          <t>Required</t>
        </is>
      </c>
      <c r="F4" s="6" t="inlineStr">
        <is>
          <t>Required</t>
        </is>
      </c>
      <c r="G4" s="6" t="inlineStr">
        <is>
          <t>Controller cabinet</t>
        </is>
      </c>
      <c r="H4" s="13" t="inlineStr"/>
      <c r="I4" s="6" t="inlineStr">
        <is>
          <t>Mains + UPS</t>
        </is>
      </c>
      <c r="J4" s="6" t="inlineStr">
        <is>
          <t>Secure field network</t>
        </is>
      </c>
      <c r="K4" s="6" t="inlineStr">
        <is>
          <t>State/event telemetry</t>
        </is>
      </c>
      <c r="L4" s="6" t="inlineStr">
        <is>
          <t>Independent safety boundary</t>
        </is>
      </c>
      <c r="M4" s="6" t="inlineStr">
        <is>
          <t>No personal data</t>
        </is>
      </c>
      <c r="N4" s="6" t="inlineStr">
        <is>
          <t>Network segmentation; signed configuration</t>
        </is>
      </c>
      <c r="O4" s="6" t="inlineStr">
        <is>
          <t>Periodic inspection and firmware governance</t>
        </is>
      </c>
      <c r="P4" s="6" t="inlineStr">
        <is>
          <t>Fixed-time/manual safe plan</t>
        </is>
      </c>
      <c r="Q4" s="6" t="inlineStr">
        <is>
          <t>High</t>
        </is>
      </c>
      <c r="R4" s="6" t="inlineStr">
        <is>
          <t>Proposed requirement; verify with site design</t>
        </is>
      </c>
    </row>
    <row r="5" ht="30" customHeight="1">
      <c r="A5" s="6" t="inlineStr">
        <is>
          <t>M02</t>
        </is>
      </c>
      <c r="B5" s="6" t="inlineStr">
        <is>
          <t>Vehicle signal heads</t>
        </is>
      </c>
      <c r="C5" s="6" t="inlineStr">
        <is>
          <t>Controls each conflicting movement</t>
        </is>
      </c>
      <c r="D5" s="6" t="inlineStr">
        <is>
          <t>Simulated indications</t>
        </is>
      </c>
      <c r="E5" s="6" t="inlineStr">
        <is>
          <t>Required</t>
        </is>
      </c>
      <c r="F5" s="6" t="inlineStr">
        <is>
          <t>Required</t>
        </is>
      </c>
      <c r="G5" s="6" t="inlineStr">
        <is>
          <t>Each controlled approach</t>
        </is>
      </c>
      <c r="H5" s="13" t="inlineStr"/>
      <c r="I5" s="6" t="inlineStr">
        <is>
          <t>Mains</t>
        </is>
      </c>
      <c r="J5" s="6" t="inlineStr">
        <is>
          <t>Controller copper/fibre</t>
        </is>
      </c>
      <c r="K5" s="6" t="inlineStr">
        <is>
          <t>Aspect state</t>
        </is>
      </c>
      <c r="L5" s="6" t="inlineStr">
        <is>
          <t>M01</t>
        </is>
      </c>
      <c r="M5" s="6" t="inlineStr">
        <is>
          <t>None</t>
        </is>
      </c>
      <c r="N5" s="6" t="inlineStr">
        <is>
          <t>Cabinet access control</t>
        </is>
      </c>
      <c r="O5" s="6" t="inlineStr">
        <is>
          <t>Lamp/LED inspection</t>
        </is>
      </c>
      <c r="P5" s="6" t="inlineStr">
        <is>
          <t>All-red / authority procedure</t>
        </is>
      </c>
      <c r="Q5" s="6" t="inlineStr">
        <is>
          <t>High</t>
        </is>
      </c>
      <c r="R5" s="6" t="inlineStr">
        <is>
          <t>Proposed requirement; verify with site design</t>
        </is>
      </c>
    </row>
    <row r="6" ht="30" customHeight="1">
      <c r="A6" s="6" t="inlineStr">
        <is>
          <t>M03</t>
        </is>
      </c>
      <c r="B6" s="6" t="inlineStr">
        <is>
          <t>Pedestrian signal heads</t>
        </is>
      </c>
      <c r="C6" s="6" t="inlineStr">
        <is>
          <t>WALK/WAIT indication</t>
        </is>
      </c>
      <c r="D6" s="6" t="inlineStr">
        <is>
          <t>Simulated indications</t>
        </is>
      </c>
      <c r="E6" s="6" t="inlineStr">
        <is>
          <t>Required</t>
        </is>
      </c>
      <c r="F6" s="6" t="inlineStr">
        <is>
          <t>Required</t>
        </is>
      </c>
      <c r="G6" s="6" t="inlineStr">
        <is>
          <t>Each crossing end</t>
        </is>
      </c>
      <c r="H6" s="13" t="inlineStr"/>
      <c r="I6" s="6" t="inlineStr">
        <is>
          <t>Mains</t>
        </is>
      </c>
      <c r="J6" s="6" t="inlineStr">
        <is>
          <t>Controller link</t>
        </is>
      </c>
      <c r="K6" s="6" t="inlineStr">
        <is>
          <t>Aspect state</t>
        </is>
      </c>
      <c r="L6" s="6" t="inlineStr">
        <is>
          <t>M01</t>
        </is>
      </c>
      <c r="M6" s="6" t="inlineStr">
        <is>
          <t>None</t>
        </is>
      </c>
      <c r="N6" s="6" t="inlineStr">
        <is>
          <t>Tamper-resistant installation</t>
        </is>
      </c>
      <c r="O6" s="6" t="inlineStr">
        <is>
          <t>Visibility and alignment checks</t>
        </is>
      </c>
      <c r="P6" s="6" t="inlineStr">
        <is>
          <t>WAIT on fault</t>
        </is>
      </c>
      <c r="Q6" s="6" t="inlineStr">
        <is>
          <t>Medium</t>
        </is>
      </c>
      <c r="R6" s="6" t="inlineStr">
        <is>
          <t>Proposed requirement; verify with site design</t>
        </is>
      </c>
    </row>
    <row r="7" ht="30" customHeight="1">
      <c r="A7" s="6" t="inlineStr">
        <is>
          <t>M04</t>
        </is>
      </c>
      <c r="B7" s="6" t="inlineStr">
        <is>
          <t>Accessible push button</t>
        </is>
      </c>
      <c r="C7" s="6" t="inlineStr">
        <is>
          <t>Accessible demand call</t>
        </is>
      </c>
      <c r="D7" s="6" t="inlineStr">
        <is>
          <t>Not established in live app</t>
        </is>
      </c>
      <c r="E7" s="6" t="inlineStr">
        <is>
          <t>Required</t>
        </is>
      </c>
      <c r="F7" s="6" t="inlineStr">
        <is>
          <t>Required</t>
        </is>
      </c>
      <c r="G7" s="6" t="inlineStr">
        <is>
          <t>Reachable waiting zone</t>
        </is>
      </c>
      <c r="H7" s="13" t="inlineStr"/>
      <c r="I7" s="6" t="inlineStr">
        <is>
          <t>Low voltage</t>
        </is>
      </c>
      <c r="J7" s="6" t="inlineStr">
        <is>
          <t>Controller input</t>
        </is>
      </c>
      <c r="K7" s="6" t="inlineStr">
        <is>
          <t>Request event</t>
        </is>
      </c>
      <c r="L7" s="6" t="inlineStr">
        <is>
          <t>M01</t>
        </is>
      </c>
      <c r="M7" s="6" t="inlineStr">
        <is>
          <t>Minimal</t>
        </is>
      </c>
      <c r="N7" s="6" t="inlineStr">
        <is>
          <t>Debounce; protected input</t>
        </is>
      </c>
      <c r="O7" s="6" t="inlineStr">
        <is>
          <t>Cleaning and functional test</t>
        </is>
      </c>
      <c r="P7" s="6" t="inlineStr">
        <is>
          <t>Fixed-time call or manual assist</t>
        </is>
      </c>
      <c r="Q7" s="6" t="inlineStr">
        <is>
          <t>Low</t>
        </is>
      </c>
      <c r="R7" s="6" t="inlineStr">
        <is>
          <t>Proposed requirement; verify with site design</t>
        </is>
      </c>
    </row>
    <row r="8" ht="30" customHeight="1">
      <c r="A8" s="6" t="inlineStr">
        <is>
          <t>M05</t>
        </is>
      </c>
      <c r="B8" s="6" t="inlineStr">
        <is>
          <t>Touchless request sensor</t>
        </is>
      </c>
      <c r="C8" s="6" t="inlineStr">
        <is>
          <t>Optional hygienic call</t>
        </is>
      </c>
      <c r="D8" s="6" t="inlineStr">
        <is>
          <t>Not verified</t>
        </is>
      </c>
      <c r="E8" s="6" t="inlineStr">
        <is>
          <t>Optional</t>
        </is>
      </c>
      <c r="F8" s="6" t="inlineStr">
        <is>
          <t>Optional</t>
        </is>
      </c>
      <c r="G8" s="6" t="inlineStr">
        <is>
          <t>Waiting zone</t>
        </is>
      </c>
      <c r="H8" s="13" t="inlineStr"/>
      <c r="I8" s="6" t="inlineStr">
        <is>
          <t>Low voltage</t>
        </is>
      </c>
      <c r="J8" s="6" t="inlineStr">
        <is>
          <t>Controller input</t>
        </is>
      </c>
      <c r="K8" s="6" t="inlineStr">
        <is>
          <t>Presence/request</t>
        </is>
      </c>
      <c r="L8" s="6" t="inlineStr">
        <is>
          <t>M01</t>
        </is>
      </c>
      <c r="M8" s="6" t="inlineStr">
        <is>
          <t>Avoid biometric capture</t>
        </is>
      </c>
      <c r="N8" s="6" t="inlineStr">
        <is>
          <t>Rate limiting; health checks</t>
        </is>
      </c>
      <c r="O8" s="6" t="inlineStr">
        <is>
          <t>Calibration</t>
        </is>
      </c>
      <c r="P8" s="6" t="inlineStr">
        <is>
          <t>Push button remains available</t>
        </is>
      </c>
      <c r="Q8" s="6" t="inlineStr">
        <is>
          <t>Low</t>
        </is>
      </c>
      <c r="R8" s="6" t="inlineStr">
        <is>
          <t>Proposed requirement; verify with site design</t>
        </is>
      </c>
    </row>
    <row r="9" ht="30" customHeight="1">
      <c r="A9" s="6" t="inlineStr">
        <is>
          <t>M06</t>
        </is>
      </c>
      <c r="B9" s="6" t="inlineStr">
        <is>
          <t>Countdown display</t>
        </is>
      </c>
      <c r="C9" s="6" t="inlineStr">
        <is>
          <t>Communicates remaining crossing time</t>
        </is>
      </c>
      <c r="D9" s="6" t="inlineStr">
        <is>
          <t>Repository shows countdown</t>
        </is>
      </c>
      <c r="E9" s="6" t="inlineStr">
        <is>
          <t>Recommended</t>
        </is>
      </c>
      <c r="F9" s="6" t="inlineStr">
        <is>
          <t>Recommended</t>
        </is>
      </c>
      <c r="G9" s="6" t="inlineStr">
        <is>
          <t>Pedestrian signal pole</t>
        </is>
      </c>
      <c r="H9" s="13" t="inlineStr"/>
      <c r="I9" s="6" t="inlineStr">
        <is>
          <t>Low voltage</t>
        </is>
      </c>
      <c r="J9" s="6" t="inlineStr">
        <is>
          <t>Controller</t>
        </is>
      </c>
      <c r="K9" s="6" t="inlineStr">
        <is>
          <t>Time remaining</t>
        </is>
      </c>
      <c r="L9" s="6" t="inlineStr">
        <is>
          <t>M01</t>
        </is>
      </c>
      <c r="M9" s="6" t="inlineStr">
        <is>
          <t>None</t>
        </is>
      </c>
      <c r="N9" s="6" t="inlineStr">
        <is>
          <t>Read-only field interface</t>
        </is>
      </c>
      <c r="O9" s="6" t="inlineStr">
        <is>
          <t>Display inspection</t>
        </is>
      </c>
      <c r="P9" s="6" t="inlineStr">
        <is>
          <t>WALK/WAIT heads remain authoritative</t>
        </is>
      </c>
      <c r="Q9" s="6" t="inlineStr">
        <is>
          <t>Low</t>
        </is>
      </c>
      <c r="R9" s="6" t="inlineStr">
        <is>
          <t>Proposed requirement; verify with site design</t>
        </is>
      </c>
    </row>
    <row r="10" ht="30" customHeight="1">
      <c r="A10" s="6" t="inlineStr">
        <is>
          <t>M07</t>
        </is>
      </c>
      <c r="B10" s="6" t="inlineStr">
        <is>
          <t>Audible/tactile indicator</t>
        </is>
      </c>
      <c r="C10" s="6" t="inlineStr">
        <is>
          <t>Supports sensory accessibility</t>
        </is>
      </c>
      <c r="D10" s="6" t="inlineStr">
        <is>
          <t>Not verified</t>
        </is>
      </c>
      <c r="E10" s="6" t="inlineStr">
        <is>
          <t>Required subject to audit</t>
        </is>
      </c>
      <c r="F10" s="6" t="inlineStr">
        <is>
          <t>Required subject to audit</t>
        </is>
      </c>
      <c r="G10" s="6" t="inlineStr">
        <is>
          <t>Push-button pole</t>
        </is>
      </c>
      <c r="H10" s="13" t="inlineStr"/>
      <c r="I10" s="6" t="inlineStr">
        <is>
          <t>Low voltage</t>
        </is>
      </c>
      <c r="J10" s="6" t="inlineStr">
        <is>
          <t>Controller</t>
        </is>
      </c>
      <c r="K10" s="6" t="inlineStr">
        <is>
          <t>Status only</t>
        </is>
      </c>
      <c r="L10" s="6" t="inlineStr">
        <is>
          <t>M01</t>
        </is>
      </c>
      <c r="M10" s="6" t="inlineStr">
        <is>
          <t>None</t>
        </is>
      </c>
      <c r="N10" s="6" t="inlineStr">
        <is>
          <t>Configuration control</t>
        </is>
      </c>
      <c r="O10" s="6" t="inlineStr">
        <is>
          <t>Volume/tactile testing</t>
        </is>
      </c>
      <c r="P10" s="6" t="inlineStr">
        <is>
          <t>WAIT/fault indication</t>
        </is>
      </c>
      <c r="Q10" s="6" t="inlineStr">
        <is>
          <t>Medium</t>
        </is>
      </c>
      <c r="R10" s="6" t="inlineStr">
        <is>
          <t>Proposed requirement; verify with site design</t>
        </is>
      </c>
    </row>
    <row r="11" ht="30" customHeight="1">
      <c r="A11" s="6" t="inlineStr">
        <is>
          <t>M08</t>
        </is>
      </c>
      <c r="B11" s="6" t="inlineStr">
        <is>
          <t>AI CCTV camera</t>
        </is>
      </c>
      <c r="C11" s="6" t="inlineStr">
        <is>
          <t>Detects trajectories and events</t>
        </is>
      </c>
      <c r="D11" s="6" t="inlineStr">
        <is>
          <t>Simulated CCTV evidence</t>
        </is>
      </c>
      <c r="E11" s="6" t="inlineStr">
        <is>
          <t>Conditional</t>
        </is>
      </c>
      <c r="F11" s="6" t="inlineStr">
        <is>
          <t>Conditional</t>
        </is>
      </c>
      <c r="G11" s="6" t="inlineStr">
        <is>
          <t>Approach/overhead with privacy mask</t>
        </is>
      </c>
      <c r="H11" s="13" t="inlineStr"/>
      <c r="I11" s="6" t="inlineStr">
        <is>
          <t>PoE/UPS</t>
        </is>
      </c>
      <c r="J11" s="6" t="inlineStr">
        <is>
          <t>Secure IP network</t>
        </is>
      </c>
      <c r="K11" s="6" t="inlineStr">
        <is>
          <t>Anonymous track; event clip if approved</t>
        </is>
      </c>
      <c r="L11" s="6" t="inlineStr">
        <is>
          <t>M10</t>
        </is>
      </c>
      <c r="M11" s="6" t="inlineStr">
        <is>
          <t>Potential personal data</t>
        </is>
      </c>
      <c r="N11" s="6" t="inlineStr">
        <is>
          <t>Encryption; RBAC; masking</t>
        </is>
      </c>
      <c r="O11" s="6" t="inlineStr">
        <is>
          <t>Lens cleaning and accuracy checks</t>
        </is>
      </c>
      <c r="P11" s="6" t="inlineStr">
        <is>
          <t>Controller uses safe fixed logic</t>
        </is>
      </c>
      <c r="Q11" s="6" t="inlineStr">
        <is>
          <t>Medium</t>
        </is>
      </c>
      <c r="R11" s="6" t="inlineStr">
        <is>
          <t>Proposed requirement; verify with site design</t>
        </is>
      </c>
    </row>
    <row r="12" ht="30" customHeight="1">
      <c r="A12" s="6" t="inlineStr">
        <is>
          <t>M09</t>
        </is>
      </c>
      <c r="B12" s="6" t="inlineStr">
        <is>
          <t>ANPR camera</t>
        </is>
      </c>
      <c r="C12" s="6" t="inlineStr">
        <is>
          <t>Captures plate evidence</t>
        </is>
      </c>
      <c r="D12" s="6" t="inlineStr">
        <is>
          <t>Synthetic plates only</t>
        </is>
      </c>
      <c r="E12" s="6" t="inlineStr">
        <is>
          <t>Only if legally authorised</t>
        </is>
      </c>
      <c r="F12" s="6" t="inlineStr">
        <is>
          <t>Only if legally authorised</t>
        </is>
      </c>
      <c r="G12" s="6" t="inlineStr">
        <is>
          <t>Confirmed enforcement viewpoint</t>
        </is>
      </c>
      <c r="H12" s="13" t="inlineStr"/>
      <c r="I12" s="6" t="inlineStr">
        <is>
          <t>PoE/UPS</t>
        </is>
      </c>
      <c r="J12" s="6" t="inlineStr">
        <is>
          <t>Restricted network</t>
        </is>
      </c>
      <c r="K12" s="6" t="inlineStr">
        <is>
          <t>Plate and event</t>
        </is>
      </c>
      <c r="L12" s="6" t="inlineStr">
        <is>
          <t>Legal authority</t>
        </is>
      </c>
      <c r="M12" s="6" t="inlineStr">
        <is>
          <t>High privacy impact</t>
        </is>
      </c>
      <c r="N12" s="6" t="inlineStr">
        <is>
          <t>Separate enclave; encryption; audit logs</t>
        </is>
      </c>
      <c r="O12" s="6" t="inlineStr">
        <is>
          <t>Calibration and evidential checks</t>
        </is>
      </c>
      <c r="P12" s="6" t="inlineStr">
        <is>
          <t>Disable ANPR; retain safety operation</t>
        </is>
      </c>
      <c r="Q12" s="6" t="inlineStr">
        <is>
          <t>High</t>
        </is>
      </c>
      <c r="R12" s="6" t="inlineStr">
        <is>
          <t>Proposed requirement; verify with site design</t>
        </is>
      </c>
    </row>
    <row r="13" ht="30" customHeight="1">
      <c r="A13" s="6" t="inlineStr">
        <is>
          <t>M10</t>
        </is>
      </c>
      <c r="B13" s="6" t="inlineStr">
        <is>
          <t>Edge AI unit</t>
        </is>
      </c>
      <c r="C13" s="6" t="inlineStr">
        <is>
          <t>Local detection with low latency</t>
        </is>
      </c>
      <c r="D13" s="6" t="inlineStr">
        <is>
          <t>Conceptual/local simulation</t>
        </is>
      </c>
      <c r="E13" s="6" t="inlineStr">
        <is>
          <t>Conditional</t>
        </is>
      </c>
      <c r="F13" s="6" t="inlineStr">
        <is>
          <t>Conditional</t>
        </is>
      </c>
      <c r="G13" s="6" t="inlineStr">
        <is>
          <t>Locked cabinet</t>
        </is>
      </c>
      <c r="H13" s="13" t="inlineStr"/>
      <c r="I13" s="6" t="inlineStr">
        <is>
          <t>UPS</t>
        </is>
      </c>
      <c r="J13" s="6" t="inlineStr">
        <is>
          <t>Secure field network</t>
        </is>
      </c>
      <c r="K13" s="6" t="inlineStr">
        <is>
          <t>Objects/confidence/health</t>
        </is>
      </c>
      <c r="L13" s="6" t="inlineStr">
        <is>
          <t>M08/M11</t>
        </is>
      </c>
      <c r="M13" s="6" t="inlineStr">
        <is>
          <t>Minimise raw-video transfer</t>
        </is>
      </c>
      <c r="N13" s="6" t="inlineStr">
        <is>
          <t>Secure boot; signed updates</t>
        </is>
      </c>
      <c r="O13" s="6" t="inlineStr">
        <is>
          <t>Health checks and model validation</t>
        </is>
      </c>
      <c r="P13" s="6" t="inlineStr">
        <is>
          <t>Fail to WAIT/fixed plan</t>
        </is>
      </c>
      <c r="Q13" s="6" t="inlineStr">
        <is>
          <t>Medium</t>
        </is>
      </c>
      <c r="R13" s="6" t="inlineStr">
        <is>
          <t>Proposed requirement; verify with site design</t>
        </is>
      </c>
    </row>
    <row r="14" ht="30" customHeight="1">
      <c r="A14" s="6" t="inlineStr">
        <is>
          <t>M11</t>
        </is>
      </c>
      <c r="B14" s="6" t="inlineStr">
        <is>
          <t>Radar presence/speed sensor</t>
        </is>
      </c>
      <c r="C14" s="6" t="inlineStr">
        <is>
          <t>Measures approach speed/presence</t>
        </is>
      </c>
      <c r="D14" s="6" t="inlineStr">
        <is>
          <t>Simulated sensor state</t>
        </is>
      </c>
      <c r="E14" s="6" t="inlineStr">
        <is>
          <t>Recommended</t>
        </is>
      </c>
      <c r="F14" s="6" t="inlineStr">
        <is>
          <t>Recommended</t>
        </is>
      </c>
      <c r="G14" s="6" t="inlineStr">
        <is>
          <t>Each critical approach</t>
        </is>
      </c>
      <c r="H14" s="13" t="inlineStr"/>
      <c r="I14" s="6" t="inlineStr">
        <is>
          <t>Low voltage</t>
        </is>
      </c>
      <c r="J14" s="6" t="inlineStr">
        <is>
          <t>Controller/edge</t>
        </is>
      </c>
      <c r="K14" s="6" t="inlineStr">
        <is>
          <t>Speed/presence</t>
        </is>
      </c>
      <c r="L14" s="6" t="inlineStr">
        <is>
          <t>M01/M10</t>
        </is>
      </c>
      <c r="M14" s="6" t="inlineStr">
        <is>
          <t>No direct identity</t>
        </is>
      </c>
      <c r="N14" s="6" t="inlineStr">
        <is>
          <t>Authenticated interface</t>
        </is>
      </c>
      <c r="O14" s="6" t="inlineStr">
        <is>
          <t>Calibration</t>
        </is>
      </c>
      <c r="P14" s="6" t="inlineStr">
        <is>
          <t>Conservative timing</t>
        </is>
      </c>
      <c r="Q14" s="6" t="inlineStr">
        <is>
          <t>Medium</t>
        </is>
      </c>
      <c r="R14" s="6" t="inlineStr">
        <is>
          <t>Proposed requirement; verify with site design</t>
        </is>
      </c>
    </row>
    <row r="15" ht="30" customHeight="1">
      <c r="A15" s="6" t="inlineStr">
        <is>
          <t>M12</t>
        </is>
      </c>
      <c r="B15" s="6" t="inlineStr">
        <is>
          <t>LiDAR</t>
        </is>
      </c>
      <c r="C15" s="6" t="inlineStr">
        <is>
          <t>Resolves complex occlusion</t>
        </is>
      </c>
      <c r="D15" s="6" t="inlineStr">
        <is>
          <t>Not found</t>
        </is>
      </c>
      <c r="E15" s="6" t="inlineStr">
        <is>
          <t>Not normally required</t>
        </is>
      </c>
      <c r="F15" s="6" t="inlineStr">
        <is>
          <t>Only after occlusion study</t>
        </is>
      </c>
      <c r="G15" s="6" t="inlineStr">
        <is>
          <t>Overhead/roadside</t>
        </is>
      </c>
      <c r="H15" s="13" t="inlineStr"/>
      <c r="I15" s="6" t="inlineStr">
        <is>
          <t>PoE/UPS</t>
        </is>
      </c>
      <c r="J15" s="6" t="inlineStr">
        <is>
          <t>Edge link</t>
        </is>
      </c>
      <c r="K15" s="6" t="inlineStr">
        <is>
          <t>Point cloud/objects</t>
        </is>
      </c>
      <c r="L15" s="6" t="inlineStr">
        <is>
          <t>M10</t>
        </is>
      </c>
      <c r="M15" s="6" t="inlineStr">
        <is>
          <t>Potential track data</t>
        </is>
      </c>
      <c r="N15" s="6" t="inlineStr">
        <is>
          <t>Segmentation; minimisation</t>
        </is>
      </c>
      <c r="O15" s="6" t="inlineStr">
        <is>
          <t>Calibration/cleaning</t>
        </is>
      </c>
      <c r="P15" s="6" t="inlineStr">
        <is>
          <t>Radar/fixed plan</t>
        </is>
      </c>
      <c r="Q15" s="6" t="inlineStr">
        <is>
          <t>High</t>
        </is>
      </c>
      <c r="R15" s="6" t="inlineStr">
        <is>
          <t>Proposed requirement; verify with site design</t>
        </is>
      </c>
    </row>
    <row r="16" ht="30" customHeight="1">
      <c r="A16" s="6" t="inlineStr">
        <is>
          <t>M13</t>
        </is>
      </c>
      <c r="B16" s="6" t="inlineStr">
        <is>
          <t>Infrared sensor</t>
        </is>
      </c>
      <c r="C16" s="6" t="inlineStr">
        <is>
          <t>Night/presence redundancy</t>
        </is>
      </c>
      <c r="D16" s="6" t="inlineStr">
        <is>
          <t>Not found</t>
        </is>
      </c>
      <c r="E16" s="6" t="inlineStr">
        <is>
          <t>Only if justified</t>
        </is>
      </c>
      <c r="F16" s="6" t="inlineStr">
        <is>
          <t>Only if justified</t>
        </is>
      </c>
      <c r="G16" s="6" t="inlineStr">
        <is>
          <t>Crossing zone</t>
        </is>
      </c>
      <c r="H16" s="13" t="inlineStr"/>
      <c r="I16" s="6" t="inlineStr">
        <is>
          <t>Low voltage</t>
        </is>
      </c>
      <c r="J16" s="6" t="inlineStr">
        <is>
          <t>Edge/controller</t>
        </is>
      </c>
      <c r="K16" s="6" t="inlineStr">
        <is>
          <t>Presence</t>
        </is>
      </c>
      <c r="L16" s="6" t="inlineStr">
        <is>
          <t>M10</t>
        </is>
      </c>
      <c r="M16" s="6" t="inlineStr">
        <is>
          <t>Low</t>
        </is>
      </c>
      <c r="N16" s="6" t="inlineStr">
        <is>
          <t>Health monitoring</t>
        </is>
      </c>
      <c r="O16" s="6" t="inlineStr">
        <is>
          <t>Cleaning/calibration</t>
        </is>
      </c>
      <c r="P16" s="6" t="inlineStr">
        <is>
          <t>Radar/fixed plan</t>
        </is>
      </c>
      <c r="Q16" s="6" t="inlineStr">
        <is>
          <t>Medium</t>
        </is>
      </c>
      <c r="R16" s="6" t="inlineStr">
        <is>
          <t>Proposed requirement; verify with site design</t>
        </is>
      </c>
    </row>
    <row r="17" ht="30" customHeight="1">
      <c r="A17" s="6" t="inlineStr">
        <is>
          <t>M14</t>
        </is>
      </c>
      <c r="B17" s="6" t="inlineStr">
        <is>
          <t>Communications gateway</t>
        </is>
      </c>
      <c r="C17" s="6" t="inlineStr">
        <is>
          <t>Secure monitoring-centre link</t>
        </is>
      </c>
      <c r="D17" s="6" t="inlineStr">
        <is>
          <t>No live connection</t>
        </is>
      </c>
      <c r="E17" s="6" t="inlineStr">
        <is>
          <t>Required for remote monitoring</t>
        </is>
      </c>
      <c r="F17" s="6" t="inlineStr">
        <is>
          <t>Required for remote monitoring</t>
        </is>
      </c>
      <c r="G17" s="6" t="inlineStr">
        <is>
          <t>Cabinet</t>
        </is>
      </c>
      <c r="H17" s="13" t="inlineStr"/>
      <c r="I17" s="6" t="inlineStr">
        <is>
          <t>UPS</t>
        </is>
      </c>
      <c r="J17" s="6" t="inlineStr">
        <is>
          <t>Fibre/cellular</t>
        </is>
      </c>
      <c r="K17" s="6" t="inlineStr">
        <is>
          <t>Events/health</t>
        </is>
      </c>
      <c r="L17" s="6" t="inlineStr">
        <is>
          <t>M10</t>
        </is>
      </c>
      <c r="M17" s="6" t="inlineStr">
        <is>
          <t>Potential transfer</t>
        </is>
      </c>
      <c r="N17" s="6" t="inlineStr">
        <is>
          <t>VPN; certificates; allowlist</t>
        </is>
      </c>
      <c r="O17" s="6" t="inlineStr">
        <is>
          <t>Patch and link tests</t>
        </is>
      </c>
      <c r="P17" s="6" t="inlineStr">
        <is>
          <t>Local controller continues safely</t>
        </is>
      </c>
      <c r="Q17" s="6" t="inlineStr">
        <is>
          <t>Medium</t>
        </is>
      </c>
      <c r="R17" s="6" t="inlineStr">
        <is>
          <t>Proposed requirement; verify with site design</t>
        </is>
      </c>
    </row>
    <row r="18" ht="30" customHeight="1">
      <c r="A18" s="6" t="inlineStr">
        <is>
          <t>M15</t>
        </is>
      </c>
      <c r="B18" s="6" t="inlineStr">
        <is>
          <t>Electrical cabinet</t>
        </is>
      </c>
      <c r="C18" s="6" t="inlineStr">
        <is>
          <t>Houses controller, UPS and network</t>
        </is>
      </c>
      <c r="D18" s="6" t="inlineStr">
        <is>
          <t>Not a physical installation</t>
        </is>
      </c>
      <c r="E18" s="6" t="inlineStr">
        <is>
          <t>Required</t>
        </is>
      </c>
      <c r="F18" s="6" t="inlineStr">
        <is>
          <t>Required</t>
        </is>
      </c>
      <c r="G18" s="6" t="inlineStr">
        <is>
          <t>Outside clear path/flood risk</t>
        </is>
      </c>
      <c r="H18" s="13" t="inlineStr"/>
      <c r="I18" s="6" t="inlineStr">
        <is>
          <t>Mains</t>
        </is>
      </c>
      <c r="J18" s="6" t="inlineStr">
        <is>
          <t>Field wiring</t>
        </is>
      </c>
      <c r="K18" s="6" t="inlineStr">
        <is>
          <t>Health</t>
        </is>
      </c>
      <c r="L18" s="6" t="inlineStr">
        <is>
          <t>All electronic modules</t>
        </is>
      </c>
      <c r="M18" s="6" t="inlineStr">
        <is>
          <t>Restricted access</t>
        </is>
      </c>
      <c r="N18" s="6" t="inlineStr">
        <is>
          <t>Locks; tamper alarm</t>
        </is>
      </c>
      <c r="O18" s="6" t="inlineStr">
        <is>
          <t>Inspection</t>
        </is>
      </c>
      <c r="P18" s="6" t="inlineStr">
        <is>
          <t>Manual isolation</t>
        </is>
      </c>
      <c r="Q18" s="6" t="inlineStr">
        <is>
          <t>High</t>
        </is>
      </c>
      <c r="R18" s="6" t="inlineStr">
        <is>
          <t>Proposed requirement; verify with site design</t>
        </is>
      </c>
    </row>
    <row r="19" ht="30" customHeight="1">
      <c r="A19" s="6" t="inlineStr">
        <is>
          <t>M16</t>
        </is>
      </c>
      <c r="B19" s="6" t="inlineStr">
        <is>
          <t>UPS and surge protection</t>
        </is>
      </c>
      <c r="C19" s="6" t="inlineStr">
        <is>
          <t>Maintains safe transition and protects equipment</t>
        </is>
      </c>
      <c r="D19" s="6" t="inlineStr">
        <is>
          <t>Not verified</t>
        </is>
      </c>
      <c r="E19" s="6" t="inlineStr">
        <is>
          <t>Required</t>
        </is>
      </c>
      <c r="F19" s="6" t="inlineStr">
        <is>
          <t>Required</t>
        </is>
      </c>
      <c r="G19" s="6" t="inlineStr">
        <is>
          <t>Cabinet</t>
        </is>
      </c>
      <c r="H19" s="13" t="inlineStr"/>
      <c r="I19" s="6" t="inlineStr">
        <is>
          <t>Mains/battery</t>
        </is>
      </c>
      <c r="J19" s="6" t="inlineStr">
        <is>
          <t>Health telemetry</t>
        </is>
      </c>
      <c r="K19" s="6" t="inlineStr">
        <is>
          <t>Battery status</t>
        </is>
      </c>
      <c r="L19" s="6" t="inlineStr">
        <is>
          <t>M15</t>
        </is>
      </c>
      <c r="M19" s="6" t="inlineStr">
        <is>
          <t>None</t>
        </is>
      </c>
      <c r="N19" s="6" t="inlineStr">
        <is>
          <t>Protected management</t>
        </is>
      </c>
      <c r="O19" s="6" t="inlineStr">
        <is>
          <t>Battery test/replacement</t>
        </is>
      </c>
      <c r="P19" s="6" t="inlineStr">
        <is>
          <t>Safe shutdown/fixed plan</t>
        </is>
      </c>
      <c r="Q19" s="6" t="inlineStr">
        <is>
          <t>Medium</t>
        </is>
      </c>
      <c r="R19" s="6" t="inlineStr">
        <is>
          <t>Proposed requirement; verify with site design</t>
        </is>
      </c>
    </row>
    <row r="20" ht="30" customHeight="1">
      <c r="A20" s="6" t="inlineStr">
        <is>
          <t>M17</t>
        </is>
      </c>
      <c r="B20" s="6" t="inlineStr">
        <is>
          <t>Street lighting</t>
        </is>
      </c>
      <c r="C20" s="6" t="inlineStr">
        <is>
          <t>Illuminates users and conflict zone</t>
        </is>
      </c>
      <c r="D20" s="6" t="inlineStr">
        <is>
          <t>Conceptual graphics</t>
        </is>
      </c>
      <c r="E20" s="6" t="inlineStr">
        <is>
          <t>Required subject to survey</t>
        </is>
      </c>
      <c r="F20" s="6" t="inlineStr">
        <is>
          <t>Required subject to survey</t>
        </is>
      </c>
      <c r="G20" s="6" t="inlineStr">
        <is>
          <t>Crossing and approaches</t>
        </is>
      </c>
      <c r="H20" s="13" t="inlineStr"/>
      <c r="I20" s="6" t="inlineStr">
        <is>
          <t>Mains</t>
        </is>
      </c>
      <c r="J20" s="6" t="inlineStr">
        <is>
          <t>Optional monitoring</t>
        </is>
      </c>
      <c r="K20" s="6" t="inlineStr">
        <is>
          <t>Health</t>
        </is>
      </c>
      <c r="L20" s="6" t="inlineStr">
        <is>
          <t>Utility</t>
        </is>
      </c>
      <c r="M20" s="6" t="inlineStr">
        <is>
          <t>None</t>
        </is>
      </c>
      <c r="N20" s="6" t="inlineStr">
        <is>
          <t>Cabinet protection</t>
        </is>
      </c>
      <c r="O20" s="6" t="inlineStr">
        <is>
          <t>Lux survey and lamp maintenance</t>
        </is>
      </c>
      <c r="P20" s="6" t="inlineStr">
        <is>
          <t>Passive markings remain</t>
        </is>
      </c>
      <c r="Q20" s="6" t="inlineStr">
        <is>
          <t>Medium</t>
        </is>
      </c>
      <c r="R20" s="6" t="inlineStr">
        <is>
          <t>Proposed requirement; verify with site design</t>
        </is>
      </c>
    </row>
    <row r="21" ht="30" customHeight="1">
      <c r="A21" s="6" t="inlineStr">
        <is>
          <t>M18</t>
        </is>
      </c>
      <c r="B21" s="6" t="inlineStr">
        <is>
          <t>School warning beacons</t>
        </is>
      </c>
      <c r="C21" s="6" t="inlineStr">
        <is>
          <t>Highlights active school periods</t>
        </is>
      </c>
      <c r="D21" s="6" t="inlineStr">
        <is>
          <t>School mode concept</t>
        </is>
      </c>
      <c r="E21" s="6" t="inlineStr">
        <is>
          <t>School variant only</t>
        </is>
      </c>
      <c r="F21" s="6" t="inlineStr">
        <is>
          <t>School variant only</t>
        </is>
      </c>
      <c r="G21" s="6" t="inlineStr">
        <is>
          <t>Approaches</t>
        </is>
      </c>
      <c r="H21" s="13" t="inlineStr"/>
      <c r="I21" s="6" t="inlineStr">
        <is>
          <t>Mains/solar subject to design</t>
        </is>
      </c>
      <c r="J21" s="6" t="inlineStr">
        <is>
          <t>Timer/controller</t>
        </is>
      </c>
      <c r="K21" s="6" t="inlineStr">
        <is>
          <t>Status</t>
        </is>
      </c>
      <c r="L21" s="6" t="inlineStr">
        <is>
          <t>School schedule</t>
        </is>
      </c>
      <c r="M21" s="6" t="inlineStr">
        <is>
          <t>None</t>
        </is>
      </c>
      <c r="N21" s="6" t="inlineStr">
        <is>
          <t>Schedule access control</t>
        </is>
      </c>
      <c r="O21" s="6" t="inlineStr">
        <is>
          <t>Inspection</t>
        </is>
      </c>
      <c r="P21" s="6" t="inlineStr">
        <is>
          <t>Static signs remain</t>
        </is>
      </c>
      <c r="Q21" s="6" t="inlineStr">
        <is>
          <t>Medium</t>
        </is>
      </c>
      <c r="R21" s="6" t="inlineStr">
        <is>
          <t>Proposed requirement; verify with site design</t>
        </is>
      </c>
    </row>
    <row r="22" ht="30" customHeight="1">
      <c r="A22" s="6" t="inlineStr">
        <is>
          <t>M19</t>
        </is>
      </c>
      <c r="B22" s="6" t="inlineStr">
        <is>
          <t>Road markings and stop lines</t>
        </is>
      </c>
      <c r="C22" s="6" t="inlineStr">
        <is>
          <t>Defines route and stopping position</t>
        </is>
      </c>
      <c r="D22" s="6" t="inlineStr">
        <is>
          <t>Rendered in simulator</t>
        </is>
      </c>
      <c r="E22" s="6" t="inlineStr">
        <is>
          <t>Required</t>
        </is>
      </c>
      <c r="F22" s="6" t="inlineStr">
        <is>
          <t>Required</t>
        </is>
      </c>
      <c r="G22" s="6" t="inlineStr">
        <is>
          <t>Carriageway</t>
        </is>
      </c>
      <c r="H22" s="13" t="inlineStr"/>
      <c r="I22" s="6" t="inlineStr">
        <is>
          <t>None</t>
        </is>
      </c>
      <c r="J22" s="6" t="inlineStr">
        <is>
          <t>None</t>
        </is>
      </c>
      <c r="K22" s="6" t="inlineStr">
        <is>
          <t>None</t>
        </is>
      </c>
      <c r="L22" s="6" t="inlineStr">
        <is>
          <t>Geometry</t>
        </is>
      </c>
      <c r="M22" s="6" t="inlineStr">
        <is>
          <t>None</t>
        </is>
      </c>
      <c r="N22" s="6" t="inlineStr">
        <is>
          <t>None</t>
        </is>
      </c>
      <c r="O22" s="6" t="inlineStr">
        <is>
          <t>Retroreflectivity inspection</t>
        </is>
      </c>
      <c r="P22" s="6" t="inlineStr">
        <is>
          <t>Signals remain</t>
        </is>
      </c>
      <c r="Q22" s="6" t="inlineStr">
        <is>
          <t>Medium</t>
        </is>
      </c>
      <c r="R22" s="6" t="inlineStr">
        <is>
          <t>Proposed requirement; verify with site design</t>
        </is>
      </c>
    </row>
    <row r="23" ht="30" customHeight="1">
      <c r="A23" s="6" t="inlineStr">
        <is>
          <t>M20</t>
        </is>
      </c>
      <c r="B23" s="6" t="inlineStr">
        <is>
          <t>Tactile paving and kerb ramps</t>
        </is>
      </c>
      <c r="C23" s="6" t="inlineStr">
        <is>
          <t>Continuous accessible route</t>
        </is>
      </c>
      <c r="D23" s="6" t="inlineStr">
        <is>
          <t>Conceptual representation</t>
        </is>
      </c>
      <c r="E23" s="6" t="inlineStr">
        <is>
          <t>Required</t>
        </is>
      </c>
      <c r="F23" s="6" t="inlineStr">
        <is>
          <t>Required</t>
        </is>
      </c>
      <c r="G23" s="6" t="inlineStr">
        <is>
          <t>Every crossing end</t>
        </is>
      </c>
      <c r="H23" s="13" t="inlineStr"/>
      <c r="I23" s="6" t="inlineStr">
        <is>
          <t>None</t>
        </is>
      </c>
      <c r="J23" s="6" t="inlineStr">
        <is>
          <t>None</t>
        </is>
      </c>
      <c r="K23" s="6" t="inlineStr">
        <is>
          <t>None</t>
        </is>
      </c>
      <c r="L23" s="6" t="inlineStr">
        <is>
          <t>Civil works</t>
        </is>
      </c>
      <c r="M23" s="6" t="inlineStr">
        <is>
          <t>None</t>
        </is>
      </c>
      <c r="N23" s="6" t="inlineStr">
        <is>
          <t>None</t>
        </is>
      </c>
      <c r="O23" s="6" t="inlineStr">
        <is>
          <t>Condition and drainage inspection</t>
        </is>
      </c>
      <c r="P23" s="6" t="inlineStr">
        <is>
          <t>No pilot until accessible</t>
        </is>
      </c>
      <c r="Q23" s="6" t="inlineStr">
        <is>
          <t>Medium</t>
        </is>
      </c>
      <c r="R23" s="6" t="inlineStr">
        <is>
          <t>Proposed requirement; verify with site design</t>
        </is>
      </c>
    </row>
    <row r="24" ht="30" customHeight="1">
      <c r="A24" s="6" t="inlineStr">
        <is>
          <t>M21</t>
        </is>
      </c>
      <c r="B24" s="6" t="inlineStr">
        <is>
          <t>Refuge island</t>
        </is>
      </c>
      <c r="C24" s="6" t="inlineStr">
        <is>
          <t>Two-stage crossing where justified</t>
        </is>
      </c>
      <c r="D24" s="6" t="inlineStr">
        <is>
          <t>Not baseline feature</t>
        </is>
      </c>
      <c r="E24" s="6" t="inlineStr">
        <is>
          <t>Site-dependent</t>
        </is>
      </c>
      <c r="F24" s="6" t="inlineStr">
        <is>
          <t>Site-dependent</t>
        </is>
      </c>
      <c r="G24" s="6" t="inlineStr">
        <is>
          <t>Median if width permits</t>
        </is>
      </c>
      <c r="H24" s="13" t="inlineStr"/>
      <c r="I24" s="6" t="inlineStr">
        <is>
          <t>Optional lighting</t>
        </is>
      </c>
      <c r="J24" s="6" t="inlineStr">
        <is>
          <t>Optional detector</t>
        </is>
      </c>
      <c r="K24" s="6" t="inlineStr">
        <is>
          <t>Occupancy</t>
        </is>
      </c>
      <c r="L24" s="6" t="inlineStr">
        <is>
          <t>Geometry</t>
        </is>
      </c>
      <c r="M24" s="6" t="inlineStr">
        <is>
          <t>Potential CCTV minimisation</t>
        </is>
      </c>
      <c r="N24" s="6" t="inlineStr">
        <is>
          <t>Physical protection</t>
        </is>
      </c>
      <c r="O24" s="6" t="inlineStr">
        <is>
          <t>Civil inspection</t>
        </is>
      </c>
      <c r="P24" s="6" t="inlineStr">
        <is>
          <t>Do not create unsafe narrow refuge</t>
        </is>
      </c>
      <c r="Q24" s="6" t="inlineStr">
        <is>
          <t>High</t>
        </is>
      </c>
      <c r="R24" s="6" t="inlineStr">
        <is>
          <t>Proposed requirement; verify with site design</t>
        </is>
      </c>
    </row>
    <row r="25" ht="30" customHeight="1">
      <c r="A25" s="6" t="inlineStr">
        <is>
          <t>M22</t>
        </is>
      </c>
      <c r="B25" s="6" t="inlineStr">
        <is>
          <t>Equipment-health monitoring</t>
        </is>
      </c>
      <c r="C25" s="6" t="inlineStr">
        <is>
          <t>Detects degraded equipment</t>
        </is>
      </c>
      <c r="D25" s="6" t="inlineStr">
        <is>
          <t>Repository confidence/failure logic</t>
        </is>
      </c>
      <c r="E25" s="6" t="inlineStr">
        <is>
          <t>Required</t>
        </is>
      </c>
      <c r="F25" s="6" t="inlineStr">
        <is>
          <t>Required</t>
        </is>
      </c>
      <c r="G25" s="6" t="inlineStr">
        <is>
          <t>Edge/controller</t>
        </is>
      </c>
      <c r="H25" s="13" t="inlineStr"/>
      <c r="I25" s="6" t="inlineStr">
        <is>
          <t>UPS</t>
        </is>
      </c>
      <c r="J25" s="6" t="inlineStr">
        <is>
          <t>Secure link</t>
        </is>
      </c>
      <c r="K25" s="6" t="inlineStr">
        <is>
          <t>Health/alerts</t>
        </is>
      </c>
      <c r="L25" s="6" t="inlineStr">
        <is>
          <t>M01/M10</t>
        </is>
      </c>
      <c r="M25" s="6" t="inlineStr">
        <is>
          <t>No identity</t>
        </is>
      </c>
      <c r="N25" s="6" t="inlineStr">
        <is>
          <t>Signed telemetry; audit</t>
        </is>
      </c>
      <c r="O25" s="6" t="inlineStr">
        <is>
          <t>Response SLA</t>
        </is>
      </c>
      <c r="P25" s="6" t="inlineStr">
        <is>
          <t>Safe degraded state</t>
        </is>
      </c>
      <c r="Q25" s="6" t="inlineStr">
        <is>
          <t>Low</t>
        </is>
      </c>
      <c r="R25" s="6" t="inlineStr">
        <is>
          <t>Proposed requirement; verify with site design</t>
        </is>
      </c>
    </row>
    <row r="26" ht="30" customHeight="1">
      <c r="A26" s="6" t="inlineStr">
        <is>
          <t>M23</t>
        </is>
      </c>
      <c r="B26" s="6" t="inlineStr">
        <is>
          <t>Manual control interface</t>
        </is>
      </c>
      <c r="C26" s="6" t="inlineStr">
        <is>
          <t>Authorised local recovery</t>
        </is>
      </c>
      <c r="D26" s="6" t="inlineStr">
        <is>
          <t>Human review concept</t>
        </is>
      </c>
      <c r="E26" s="6" t="inlineStr">
        <is>
          <t>Required</t>
        </is>
      </c>
      <c r="F26" s="6" t="inlineStr">
        <is>
          <t>Required</t>
        </is>
      </c>
      <c r="G26" s="6" t="inlineStr">
        <is>
          <t>Locked cabinet/control room</t>
        </is>
      </c>
      <c r="H26" s="13" t="inlineStr"/>
      <c r="I26" s="6" t="inlineStr">
        <is>
          <t>UPS</t>
        </is>
      </c>
      <c r="J26" s="6" t="inlineStr">
        <is>
          <t>Restricted link</t>
        </is>
      </c>
      <c r="K26" s="6" t="inlineStr">
        <is>
          <t>Commands/audit</t>
        </is>
      </c>
      <c r="L26" s="6" t="inlineStr">
        <is>
          <t>M01</t>
        </is>
      </c>
      <c r="M26" s="6" t="inlineStr">
        <is>
          <t>Operator identity</t>
        </is>
      </c>
      <c r="N26" s="6" t="inlineStr">
        <is>
          <t>MFA/RBAC/audit</t>
        </is>
      </c>
      <c r="O26" s="6" t="inlineStr">
        <is>
          <t>Procedure drills</t>
        </is>
      </c>
      <c r="P26" s="6" t="inlineStr">
        <is>
          <t>Local physical control</t>
        </is>
      </c>
      <c r="Q26" s="6" t="inlineStr">
        <is>
          <t>Medium</t>
        </is>
      </c>
      <c r="R26" s="6" t="inlineStr">
        <is>
          <t>Proposed requirement; verify with site design</t>
        </is>
      </c>
    </row>
  </sheetData>
  <mergeCells count="2">
    <mergeCell ref="A2:R2"/>
    <mergeCell ref="A1:R1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6" customWidth="1" min="3" max="3"/>
    <col width="42" customWidth="1" min="4" max="4"/>
    <col width="42" customWidth="1" min="5" max="5"/>
    <col width="43" customWidth="1" min="6" max="6"/>
    <col width="45" customWidth="1" min="7" max="7"/>
    <col width="43" customWidth="1" min="8" max="8"/>
    <col width="25" customWidth="1" min="9" max="9"/>
  </cols>
  <sheetData>
    <row r="1" ht="34" customHeight="1">
      <c r="A1" s="1" t="inlineStr">
        <is>
          <t>Signal Sequence Comparison</t>
        </is>
      </c>
    </row>
    <row r="2" ht="30" customHeight="1">
      <c r="A2" s="2" t="inlineStr">
        <is>
          <t>Conceptual only. Final timings require measured geometry, walking speeds, intergreen calculations and controller validation.</t>
        </is>
      </c>
    </row>
    <row r="3" ht="32" customHeight="1">
      <c r="A3" s="5" t="inlineStr">
        <is>
          <t>Sequence ID</t>
        </is>
      </c>
      <c r="B3" s="5" t="inlineStr">
        <is>
          <t>Configuration</t>
        </is>
      </c>
      <c r="C3" s="5" t="inlineStr">
        <is>
          <t>Phase order</t>
        </is>
      </c>
      <c r="D3" s="5" t="inlineStr">
        <is>
          <t>Pedestrian service</t>
        </is>
      </c>
      <c r="E3" s="5" t="inlineStr">
        <is>
          <t>Turning control</t>
        </is>
      </c>
      <c r="F3" s="5" t="inlineStr">
        <is>
          <t>Slow-user extension</t>
        </is>
      </c>
      <c r="G3" s="5" t="inlineStr">
        <is>
          <t>School variant</t>
        </is>
      </c>
      <c r="H3" s="5" t="inlineStr">
        <is>
          <t>Failure mode</t>
        </is>
      </c>
      <c r="I3" s="5" t="inlineStr">
        <is>
          <t>Evidence state</t>
        </is>
      </c>
    </row>
    <row r="4" ht="30" customHeight="1">
      <c r="A4" s="6" t="inlineStr">
        <is>
          <t>SEQ-B0</t>
        </is>
      </c>
      <c r="B4" s="6" t="inlineStr">
        <is>
          <t>SC-B0</t>
        </is>
      </c>
      <c r="C4" s="6" t="inlineStr">
        <is>
          <t>Approach &gt; request &gt; amber &gt; all-red/stop proof &gt; WALK &gt; clearance &gt; traffic release</t>
        </is>
      </c>
      <c r="D4" s="6" t="inlineStr">
        <is>
          <t>Single marked crossing</t>
        </is>
      </c>
      <c r="E4" s="6" t="inlineStr">
        <is>
          <t>Both approaches held STOP</t>
        </is>
      </c>
      <c r="F4" s="6" t="inlineStr">
        <is>
          <t>Repository uses protected 12 s concept; field timing not applicable</t>
        </is>
      </c>
      <c r="G4" s="6" t="inlineStr">
        <is>
          <t>Longer clearance / supervised group</t>
        </is>
      </c>
      <c r="H4" s="6" t="inlineStr">
        <is>
          <t>WAIT/HOLD; STOP; local manual review</t>
        </is>
      </c>
      <c r="I4" s="6" t="inlineStr">
        <is>
          <t>Repository-verified simulation</t>
        </is>
      </c>
    </row>
    <row r="5" ht="30" customHeight="1">
      <c r="A5" s="6" t="inlineStr">
        <is>
          <t>SEQ-T1</t>
        </is>
      </c>
      <c r="B5" s="6" t="inlineStr">
        <is>
          <t>SC-T1</t>
        </is>
      </c>
      <c r="C5" s="6" t="inlineStr">
        <is>
          <t>Vehicle stages &gt; pedestrian request &gt; clearance &gt; all conflicting turns RED &gt; WALK by selected leg(s) &gt; clearance &gt; release</t>
        </is>
      </c>
      <c r="D5" s="6" t="inlineStr">
        <is>
          <t>Setback leg-by-leg or compatible non-conflicting pair</t>
        </is>
      </c>
      <c r="E5" s="6" t="inlineStr">
        <is>
          <t>No permissive turn across active crossing</t>
        </is>
      </c>
      <c r="F5" s="6" t="inlineStr">
        <is>
          <t>Detection may extend clearance within approved maximum</t>
        </is>
      </c>
      <c r="G5" s="6" t="inlineStr">
        <is>
          <t>School timetable, group detection, parking control, guard input</t>
        </is>
      </c>
      <c r="H5" s="6" t="inlineStr">
        <is>
          <t>All-red/WAIT then fixed/manual plan</t>
        </is>
      </c>
      <c r="I5" s="6" t="inlineStr">
        <is>
          <t>Conceptual - data required</t>
        </is>
      </c>
    </row>
    <row r="6" ht="30" customHeight="1">
      <c r="A6" s="6" t="inlineStr">
        <is>
          <t>SEQ-X1</t>
        </is>
      </c>
      <c r="B6" s="6" t="inlineStr">
        <is>
          <t>SC-X1</t>
        </is>
      </c>
      <c r="C6" s="6" t="inlineStr">
        <is>
          <t>Coordinated vehicle stages &gt; request &gt; all-red &gt; fully protected pedestrian phase &gt; clearance &gt; coordinated release</t>
        </is>
      </c>
      <c r="D6" s="6" t="inlineStr">
        <is>
          <t>Fully protected phase preferred for initial pilot screening</t>
        </is>
      </c>
      <c r="E6" s="6" t="inlineStr">
        <is>
          <t>All turning movements across active crossings prohibited</t>
        </is>
      </c>
      <c r="F6" s="6" t="inlineStr">
        <is>
          <t>Zone occupancy extends clearance; never shortens below design minimum</t>
        </is>
      </c>
      <c r="G6" s="6" t="inlineStr">
        <is>
          <t>Group holding and extended clearance; consider one-road-at-a-time if delay/capacity requires</t>
        </is>
      </c>
      <c r="H6" s="6" t="inlineStr">
        <is>
          <t>All-red/WAIT then fixed/manual plan</t>
        </is>
      </c>
      <c r="I6" s="6" t="inlineStr">
        <is>
          <t>Conceptual - data required</t>
        </is>
      </c>
    </row>
    <row r="7" ht="30" customHeight="1">
      <c r="A7" s="6" t="inlineStr">
        <is>
          <t>SEQ-X1-SCR</t>
        </is>
      </c>
      <c r="B7" s="6" t="inlineStr">
        <is>
          <t>SC-X1</t>
        </is>
      </c>
      <c r="C7" s="6" t="inlineStr">
        <is>
          <t>All-red &gt; all-pedestrian/diagonal phase &gt; clearance &gt; vehicle stages</t>
        </is>
      </c>
      <c r="D7" s="6" t="inlineStr">
        <is>
          <t>Diagonal routes only if desire-line and capacity evidence justify</t>
        </is>
      </c>
      <c r="E7" s="6" t="inlineStr">
        <is>
          <t>All vehicle movements stopped</t>
        </is>
      </c>
      <c r="F7" s="6" t="inlineStr">
        <is>
          <t>Long diagonal clearance required</t>
        </is>
      </c>
      <c r="G7" s="6" t="inlineStr">
        <is>
          <t>Not default; high supervision and demand threshold</t>
        </is>
      </c>
      <c r="H7" s="6" t="inlineStr">
        <is>
          <t>Disable scramble on degraded detection; conventional protected plan</t>
        </is>
      </c>
      <c r="I7" s="6" t="inlineStr">
        <is>
          <t>Alternative only - data required</t>
        </is>
      </c>
    </row>
  </sheetData>
  <mergeCells count="2">
    <mergeCell ref="A1:I1"/>
    <mergeCell ref="A2:I2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45" customWidth="1" min="4" max="4"/>
    <col width="12" customWidth="1" min="5" max="5"/>
    <col width="18" customWidth="1" min="6" max="6"/>
    <col width="19" customWidth="1" min="7" max="7"/>
    <col width="18" customWidth="1" min="8" max="8"/>
    <col width="19" customWidth="1" min="9" max="9"/>
    <col width="20" customWidth="1" min="10" max="10"/>
    <col width="21" customWidth="1" min="11" max="11"/>
    <col width="35" customWidth="1" min="12" max="12"/>
  </cols>
  <sheetData>
    <row r="1" ht="34" customHeight="1">
      <c r="A1" s="1" t="inlineStr">
        <is>
          <t>Cost Model</t>
        </is>
      </c>
    </row>
    <row r="2" ht="30" customHeight="1">
      <c r="A2" s="2" t="inlineStr">
        <is>
          <t>No supplier quotations were supplied. Enter quantities and low/high unit rates; unknowns are not zero.</t>
        </is>
      </c>
    </row>
    <row r="3" ht="30" customHeight="1">
      <c r="A3" t="inlineStr">
        <is>
          <t>Contingency</t>
        </is>
      </c>
      <c r="B3" s="12" t="n">
        <v>0.2</v>
      </c>
      <c r="D3" t="inlineStr">
        <is>
          <t>Lifecycle years</t>
        </is>
      </c>
      <c r="E3" s="14" t="n">
        <v>10</v>
      </c>
    </row>
    <row r="4" ht="30" customHeight="1"/>
    <row r="5" ht="32" customHeight="1">
      <c r="A5" s="5" t="inlineStr">
        <is>
          <t>Cost ID</t>
        </is>
      </c>
      <c r="B5" s="5" t="inlineStr">
        <is>
          <t>Configuration</t>
        </is>
      </c>
      <c r="C5" s="5" t="inlineStr">
        <is>
          <t>Category</t>
        </is>
      </c>
      <c r="D5" s="5" t="inlineStr">
        <is>
          <t>Item</t>
        </is>
      </c>
      <c r="E5" s="5" t="inlineStr">
        <is>
          <t>Quantity</t>
        </is>
      </c>
      <c r="F5" s="5" t="inlineStr">
        <is>
          <t>Low unit rate RM</t>
        </is>
      </c>
      <c r="G5" s="5" t="inlineStr">
        <is>
          <t>High unit rate RM</t>
        </is>
      </c>
      <c r="H5" s="5" t="inlineStr">
        <is>
          <t>Low subtotal RM</t>
        </is>
      </c>
      <c r="I5" s="5" t="inlineStr">
        <is>
          <t>High subtotal RM</t>
        </is>
      </c>
      <c r="J5" s="5" t="inlineStr">
        <is>
          <t>Annual OPEX low RM</t>
        </is>
      </c>
      <c r="K5" s="5" t="inlineStr">
        <is>
          <t>Annual OPEX high RM</t>
        </is>
      </c>
      <c r="L5" s="5" t="inlineStr">
        <is>
          <t>Quotation / source status</t>
        </is>
      </c>
    </row>
    <row r="6" ht="30" customHeight="1">
      <c r="A6" s="6" t="inlineStr">
        <is>
          <t>C001</t>
        </is>
      </c>
      <c r="B6" s="6" t="inlineStr">
        <is>
          <t>SC-T1-N</t>
        </is>
      </c>
      <c r="C6" s="6" t="inlineStr">
        <is>
          <t>Civil</t>
        </is>
      </c>
      <c r="D6" s="6" t="inlineStr">
        <is>
          <t>Kerb ramps, tactile paving, drainage and refuge works</t>
        </is>
      </c>
      <c r="E6" s="13" t="inlineStr"/>
      <c r="F6" s="15" t="inlineStr"/>
      <c r="G6" s="15" t="inlineStr"/>
      <c r="H6" s="16">
        <f>IF(COUNTA(E6:F6)&lt;2,"",E6*F6)</f>
        <v/>
      </c>
      <c r="I6" s="16">
        <f>IF(COUNTA(E6:G6)&lt;2,"",E6*G6)</f>
        <v/>
      </c>
      <c r="J6" s="15" t="inlineStr"/>
      <c r="K6" s="15" t="inlineStr"/>
      <c r="L6" s="6" t="inlineStr">
        <is>
          <t>DATA REQUIRED FROM MPAJ / SITE SURVEY</t>
        </is>
      </c>
    </row>
    <row r="7" ht="30" customHeight="1">
      <c r="A7" s="6" t="inlineStr">
        <is>
          <t>C002</t>
        </is>
      </c>
      <c r="B7" s="6" t="inlineStr">
        <is>
          <t>SC-T1-N</t>
        </is>
      </c>
      <c r="C7" s="6" t="inlineStr">
        <is>
          <t>Signals</t>
        </is>
      </c>
      <c r="D7" s="6" t="inlineStr">
        <is>
          <t>Controller, heads, poles and accessible indications</t>
        </is>
      </c>
      <c r="E7" s="13" t="inlineStr"/>
      <c r="F7" s="15" t="inlineStr"/>
      <c r="G7" s="15" t="inlineStr"/>
      <c r="H7" s="16">
        <f>IF(COUNTA(E7:F7)&lt;2,"",E7*F7)</f>
        <v/>
      </c>
      <c r="I7" s="16">
        <f>IF(COUNTA(E7:G7)&lt;2,"",E7*G7)</f>
        <v/>
      </c>
      <c r="J7" s="15" t="inlineStr"/>
      <c r="K7" s="15" t="inlineStr"/>
      <c r="L7" s="6" t="inlineStr">
        <is>
          <t>DATA REQUIRED FROM MPAJ / SITE SURVEY</t>
        </is>
      </c>
    </row>
    <row r="8" ht="30" customHeight="1">
      <c r="A8" s="6" t="inlineStr">
        <is>
          <t>C003</t>
        </is>
      </c>
      <c r="B8" s="6" t="inlineStr">
        <is>
          <t>SC-T1-N</t>
        </is>
      </c>
      <c r="C8" s="6" t="inlineStr">
        <is>
          <t>Sensing</t>
        </is>
      </c>
      <c r="D8" s="6" t="inlineStr">
        <is>
          <t>Cameras/radar/edge processing only as justified</t>
        </is>
      </c>
      <c r="E8" s="13" t="inlineStr"/>
      <c r="F8" s="15" t="inlineStr"/>
      <c r="G8" s="15" t="inlineStr"/>
      <c r="H8" s="16">
        <f>IF(COUNTA(E8:F8)&lt;2,"",E8*F8)</f>
        <v/>
      </c>
      <c r="I8" s="16">
        <f>IF(COUNTA(E8:G8)&lt;2,"",E8*G8)</f>
        <v/>
      </c>
      <c r="J8" s="15" t="inlineStr"/>
      <c r="K8" s="15" t="inlineStr"/>
      <c r="L8" s="6" t="inlineStr">
        <is>
          <t>DATA REQUIRED FROM MPAJ / SITE SURVEY</t>
        </is>
      </c>
    </row>
    <row r="9" ht="30" customHeight="1">
      <c r="A9" s="6" t="inlineStr">
        <is>
          <t>C004</t>
        </is>
      </c>
      <c r="B9" s="6" t="inlineStr">
        <is>
          <t>SC-T1-N</t>
        </is>
      </c>
      <c r="C9" s="6" t="inlineStr">
        <is>
          <t>Electrical</t>
        </is>
      </c>
      <c r="D9" s="6" t="inlineStr">
        <is>
          <t>Cabinet, UPS, surge and lighting</t>
        </is>
      </c>
      <c r="E9" s="13" t="inlineStr"/>
      <c r="F9" s="15" t="inlineStr"/>
      <c r="G9" s="15" t="inlineStr"/>
      <c r="H9" s="16">
        <f>IF(COUNTA(E9:F9)&lt;2,"",E9*F9)</f>
        <v/>
      </c>
      <c r="I9" s="16">
        <f>IF(COUNTA(E9:G9)&lt;2,"",E9*G9)</f>
        <v/>
      </c>
      <c r="J9" s="15" t="inlineStr"/>
      <c r="K9" s="15" t="inlineStr"/>
      <c r="L9" s="6" t="inlineStr">
        <is>
          <t>DATA REQUIRED FROM MPAJ / SITE SURVEY</t>
        </is>
      </c>
    </row>
    <row r="10" ht="30" customHeight="1">
      <c r="A10" s="6" t="inlineStr">
        <is>
          <t>C005</t>
        </is>
      </c>
      <c r="B10" s="6" t="inlineStr">
        <is>
          <t>SC-T1-N</t>
        </is>
      </c>
      <c r="C10" s="6" t="inlineStr">
        <is>
          <t>ICT</t>
        </is>
      </c>
      <c r="D10" s="6" t="inlineStr">
        <is>
          <t>Secure communications and monitoring integration</t>
        </is>
      </c>
      <c r="E10" s="13" t="inlineStr"/>
      <c r="F10" s="15" t="inlineStr"/>
      <c r="G10" s="15" t="inlineStr"/>
      <c r="H10" s="16">
        <f>IF(COUNTA(E10:F10)&lt;2,"",E10*F10)</f>
        <v/>
      </c>
      <c r="I10" s="16">
        <f>IF(COUNTA(E10:G10)&lt;2,"",E10*G10)</f>
        <v/>
      </c>
      <c r="J10" s="15" t="inlineStr"/>
      <c r="K10" s="15" t="inlineStr"/>
      <c r="L10" s="6" t="inlineStr">
        <is>
          <t>DATA REQUIRED FROM MPAJ / SITE SURVEY</t>
        </is>
      </c>
    </row>
    <row r="11" ht="30" customHeight="1">
      <c r="A11" s="6" t="inlineStr">
        <is>
          <t>C006</t>
        </is>
      </c>
      <c r="B11" s="6" t="inlineStr">
        <is>
          <t>SC-T1-N</t>
        </is>
      </c>
      <c r="C11" s="6" t="inlineStr">
        <is>
          <t>Design</t>
        </is>
      </c>
      <c r="D11" s="6" t="inlineStr">
        <is>
          <t>Survey, detailed design, RSA, testing and approvals</t>
        </is>
      </c>
      <c r="E11" s="13" t="inlineStr"/>
      <c r="F11" s="15" t="inlineStr"/>
      <c r="G11" s="15" t="inlineStr"/>
      <c r="H11" s="16">
        <f>IF(COUNTA(E11:F11)&lt;2,"",E11*F11)</f>
        <v/>
      </c>
      <c r="I11" s="16">
        <f>IF(COUNTA(E11:G11)&lt;2,"",E11*G11)</f>
        <v/>
      </c>
      <c r="J11" s="15" t="inlineStr"/>
      <c r="K11" s="15" t="inlineStr"/>
      <c r="L11" s="6" t="inlineStr">
        <is>
          <t>DATA REQUIRED FROM MPAJ / SITE SURVEY</t>
        </is>
      </c>
    </row>
    <row r="12" ht="30" customHeight="1">
      <c r="A12" s="6" t="inlineStr">
        <is>
          <t>C007</t>
        </is>
      </c>
      <c r="B12" s="6" t="inlineStr">
        <is>
          <t>SC-T1-N</t>
        </is>
      </c>
      <c r="C12" s="6" t="inlineStr">
        <is>
          <t>Operations</t>
        </is>
      </c>
      <c r="D12" s="6" t="inlineStr">
        <is>
          <t>Maintenance, calibration, connectivity and support</t>
        </is>
      </c>
      <c r="E12" s="13" t="inlineStr"/>
      <c r="F12" s="15" t="inlineStr"/>
      <c r="G12" s="15" t="inlineStr"/>
      <c r="H12" s="16">
        <f>IF(COUNTA(E12:F12)&lt;2,"",E12*F12)</f>
        <v/>
      </c>
      <c r="I12" s="16">
        <f>IF(COUNTA(E12:G12)&lt;2,"",E12*G12)</f>
        <v/>
      </c>
      <c r="J12" s="15" t="inlineStr"/>
      <c r="K12" s="15" t="inlineStr"/>
      <c r="L12" s="6" t="inlineStr">
        <is>
          <t>DATA REQUIRED FROM MPAJ / SITE SURVEY</t>
        </is>
      </c>
    </row>
    <row r="13" ht="30" customHeight="1">
      <c r="A13" s="6" t="inlineStr">
        <is>
          <t>C008</t>
        </is>
      </c>
      <c r="B13" s="6" t="inlineStr">
        <is>
          <t>SC-T1-S</t>
        </is>
      </c>
      <c r="C13" s="6" t="inlineStr">
        <is>
          <t>Civil</t>
        </is>
      </c>
      <c r="D13" s="6" t="inlineStr">
        <is>
          <t>Kerb ramps, tactile paving, drainage and refuge works</t>
        </is>
      </c>
      <c r="E13" s="13" t="inlineStr"/>
      <c r="F13" s="15" t="inlineStr"/>
      <c r="G13" s="15" t="inlineStr"/>
      <c r="H13" s="16">
        <f>IF(COUNTA(E13:F13)&lt;2,"",E13*F13)</f>
        <v/>
      </c>
      <c r="I13" s="16">
        <f>IF(COUNTA(E13:G13)&lt;2,"",E13*G13)</f>
        <v/>
      </c>
      <c r="J13" s="15" t="inlineStr"/>
      <c r="K13" s="15" t="inlineStr"/>
      <c r="L13" s="6" t="inlineStr">
        <is>
          <t>DATA REQUIRED FROM MPAJ / SITE SURVEY</t>
        </is>
      </c>
    </row>
    <row r="14" ht="30" customHeight="1">
      <c r="A14" s="6" t="inlineStr">
        <is>
          <t>C009</t>
        </is>
      </c>
      <c r="B14" s="6" t="inlineStr">
        <is>
          <t>SC-T1-S</t>
        </is>
      </c>
      <c r="C14" s="6" t="inlineStr">
        <is>
          <t>Signals</t>
        </is>
      </c>
      <c r="D14" s="6" t="inlineStr">
        <is>
          <t>Controller, heads, poles and accessible indications</t>
        </is>
      </c>
      <c r="E14" s="13" t="inlineStr"/>
      <c r="F14" s="15" t="inlineStr"/>
      <c r="G14" s="15" t="inlineStr"/>
      <c r="H14" s="16">
        <f>IF(COUNTA(E14:F14)&lt;2,"",E14*F14)</f>
        <v/>
      </c>
      <c r="I14" s="16">
        <f>IF(COUNTA(E14:G14)&lt;2,"",E14*G14)</f>
        <v/>
      </c>
      <c r="J14" s="15" t="inlineStr"/>
      <c r="K14" s="15" t="inlineStr"/>
      <c r="L14" s="6" t="inlineStr">
        <is>
          <t>DATA REQUIRED FROM MPAJ / SITE SURVEY</t>
        </is>
      </c>
    </row>
    <row r="15" ht="30" customHeight="1">
      <c r="A15" s="6" t="inlineStr">
        <is>
          <t>C010</t>
        </is>
      </c>
      <c r="B15" s="6" t="inlineStr">
        <is>
          <t>SC-T1-S</t>
        </is>
      </c>
      <c r="C15" s="6" t="inlineStr">
        <is>
          <t>Sensing</t>
        </is>
      </c>
      <c r="D15" s="6" t="inlineStr">
        <is>
          <t>Cameras/radar/edge processing only as justified</t>
        </is>
      </c>
      <c r="E15" s="13" t="inlineStr"/>
      <c r="F15" s="15" t="inlineStr"/>
      <c r="G15" s="15" t="inlineStr"/>
      <c r="H15" s="16">
        <f>IF(COUNTA(E15:F15)&lt;2,"",E15*F15)</f>
        <v/>
      </c>
      <c r="I15" s="16">
        <f>IF(COUNTA(E15:G15)&lt;2,"",E15*G15)</f>
        <v/>
      </c>
      <c r="J15" s="15" t="inlineStr"/>
      <c r="K15" s="15" t="inlineStr"/>
      <c r="L15" s="6" t="inlineStr">
        <is>
          <t>DATA REQUIRED FROM MPAJ / SITE SURVEY</t>
        </is>
      </c>
    </row>
    <row r="16" ht="30" customHeight="1">
      <c r="A16" s="6" t="inlineStr">
        <is>
          <t>C011</t>
        </is>
      </c>
      <c r="B16" s="6" t="inlineStr">
        <is>
          <t>SC-T1-S</t>
        </is>
      </c>
      <c r="C16" s="6" t="inlineStr">
        <is>
          <t>Electrical</t>
        </is>
      </c>
      <c r="D16" s="6" t="inlineStr">
        <is>
          <t>Cabinet, UPS, surge and lighting</t>
        </is>
      </c>
      <c r="E16" s="13" t="inlineStr"/>
      <c r="F16" s="15" t="inlineStr"/>
      <c r="G16" s="15" t="inlineStr"/>
      <c r="H16" s="16">
        <f>IF(COUNTA(E16:F16)&lt;2,"",E16*F16)</f>
        <v/>
      </c>
      <c r="I16" s="16">
        <f>IF(COUNTA(E16:G16)&lt;2,"",E16*G16)</f>
        <v/>
      </c>
      <c r="J16" s="15" t="inlineStr"/>
      <c r="K16" s="15" t="inlineStr"/>
      <c r="L16" s="6" t="inlineStr">
        <is>
          <t>DATA REQUIRED FROM MPAJ / SITE SURVEY</t>
        </is>
      </c>
    </row>
    <row r="17" ht="30" customHeight="1">
      <c r="A17" s="6" t="inlineStr">
        <is>
          <t>C012</t>
        </is>
      </c>
      <c r="B17" s="6" t="inlineStr">
        <is>
          <t>SC-T1-S</t>
        </is>
      </c>
      <c r="C17" s="6" t="inlineStr">
        <is>
          <t>ICT</t>
        </is>
      </c>
      <c r="D17" s="6" t="inlineStr">
        <is>
          <t>Secure communications and monitoring integration</t>
        </is>
      </c>
      <c r="E17" s="13" t="inlineStr"/>
      <c r="F17" s="15" t="inlineStr"/>
      <c r="G17" s="15" t="inlineStr"/>
      <c r="H17" s="16">
        <f>IF(COUNTA(E17:F17)&lt;2,"",E17*F17)</f>
        <v/>
      </c>
      <c r="I17" s="16">
        <f>IF(COUNTA(E17:G17)&lt;2,"",E17*G17)</f>
        <v/>
      </c>
      <c r="J17" s="15" t="inlineStr"/>
      <c r="K17" s="15" t="inlineStr"/>
      <c r="L17" s="6" t="inlineStr">
        <is>
          <t>DATA REQUIRED FROM MPAJ / SITE SURVEY</t>
        </is>
      </c>
    </row>
    <row r="18" ht="30" customHeight="1">
      <c r="A18" s="6" t="inlineStr">
        <is>
          <t>C013</t>
        </is>
      </c>
      <c r="B18" s="6" t="inlineStr">
        <is>
          <t>SC-T1-S</t>
        </is>
      </c>
      <c r="C18" s="6" t="inlineStr">
        <is>
          <t>Design</t>
        </is>
      </c>
      <c r="D18" s="6" t="inlineStr">
        <is>
          <t>Survey, detailed design, RSA, testing and approvals</t>
        </is>
      </c>
      <c r="E18" s="13" t="inlineStr"/>
      <c r="F18" s="15" t="inlineStr"/>
      <c r="G18" s="15" t="inlineStr"/>
      <c r="H18" s="16">
        <f>IF(COUNTA(E18:F18)&lt;2,"",E18*F18)</f>
        <v/>
      </c>
      <c r="I18" s="16">
        <f>IF(COUNTA(E18:G18)&lt;2,"",E18*G18)</f>
        <v/>
      </c>
      <c r="J18" s="15" t="inlineStr"/>
      <c r="K18" s="15" t="inlineStr"/>
      <c r="L18" s="6" t="inlineStr">
        <is>
          <t>DATA REQUIRED FROM MPAJ / SITE SURVEY</t>
        </is>
      </c>
    </row>
    <row r="19" ht="30" customHeight="1">
      <c r="A19" s="6" t="inlineStr">
        <is>
          <t>C014</t>
        </is>
      </c>
      <c r="B19" s="6" t="inlineStr">
        <is>
          <t>SC-T1-S</t>
        </is>
      </c>
      <c r="C19" s="6" t="inlineStr">
        <is>
          <t>Operations</t>
        </is>
      </c>
      <c r="D19" s="6" t="inlineStr">
        <is>
          <t>Maintenance, calibration, connectivity and support</t>
        </is>
      </c>
      <c r="E19" s="13" t="inlineStr"/>
      <c r="F19" s="15" t="inlineStr"/>
      <c r="G19" s="15" t="inlineStr"/>
      <c r="H19" s="16">
        <f>IF(COUNTA(E19:F19)&lt;2,"",E19*F19)</f>
        <v/>
      </c>
      <c r="I19" s="16">
        <f>IF(COUNTA(E19:G19)&lt;2,"",E19*G19)</f>
        <v/>
      </c>
      <c r="J19" s="15" t="inlineStr"/>
      <c r="K19" s="15" t="inlineStr"/>
      <c r="L19" s="6" t="inlineStr">
        <is>
          <t>DATA REQUIRED FROM MPAJ / SITE SURVEY</t>
        </is>
      </c>
    </row>
    <row r="20" ht="30" customHeight="1">
      <c r="A20" s="6" t="inlineStr">
        <is>
          <t>C015</t>
        </is>
      </c>
      <c r="B20" s="6" t="inlineStr">
        <is>
          <t>SC-X1-N</t>
        </is>
      </c>
      <c r="C20" s="6" t="inlineStr">
        <is>
          <t>Civil</t>
        </is>
      </c>
      <c r="D20" s="6" t="inlineStr">
        <is>
          <t>Kerb ramps, tactile paving, drainage and refuge works</t>
        </is>
      </c>
      <c r="E20" s="13" t="inlineStr"/>
      <c r="F20" s="15" t="inlineStr"/>
      <c r="G20" s="15" t="inlineStr"/>
      <c r="H20" s="16">
        <f>IF(COUNTA(E20:F20)&lt;2,"",E20*F20)</f>
        <v/>
      </c>
      <c r="I20" s="16">
        <f>IF(COUNTA(E20:G20)&lt;2,"",E20*G20)</f>
        <v/>
      </c>
      <c r="J20" s="15" t="inlineStr"/>
      <c r="K20" s="15" t="inlineStr"/>
      <c r="L20" s="6" t="inlineStr">
        <is>
          <t>DATA REQUIRED FROM MPAJ / SITE SURVEY</t>
        </is>
      </c>
    </row>
    <row r="21" ht="30" customHeight="1">
      <c r="A21" s="6" t="inlineStr">
        <is>
          <t>C016</t>
        </is>
      </c>
      <c r="B21" s="6" t="inlineStr">
        <is>
          <t>SC-X1-N</t>
        </is>
      </c>
      <c r="C21" s="6" t="inlineStr">
        <is>
          <t>Signals</t>
        </is>
      </c>
      <c r="D21" s="6" t="inlineStr">
        <is>
          <t>Controller, heads, poles and accessible indications</t>
        </is>
      </c>
      <c r="E21" s="13" t="inlineStr"/>
      <c r="F21" s="15" t="inlineStr"/>
      <c r="G21" s="15" t="inlineStr"/>
      <c r="H21" s="16">
        <f>IF(COUNTA(E21:F21)&lt;2,"",E21*F21)</f>
        <v/>
      </c>
      <c r="I21" s="16">
        <f>IF(COUNTA(E21:G21)&lt;2,"",E21*G21)</f>
        <v/>
      </c>
      <c r="J21" s="15" t="inlineStr"/>
      <c r="K21" s="15" t="inlineStr"/>
      <c r="L21" s="6" t="inlineStr">
        <is>
          <t>DATA REQUIRED FROM MPAJ / SITE SURVEY</t>
        </is>
      </c>
    </row>
    <row r="22" ht="30" customHeight="1">
      <c r="A22" s="6" t="inlineStr">
        <is>
          <t>C017</t>
        </is>
      </c>
      <c r="B22" s="6" t="inlineStr">
        <is>
          <t>SC-X1-N</t>
        </is>
      </c>
      <c r="C22" s="6" t="inlineStr">
        <is>
          <t>Sensing</t>
        </is>
      </c>
      <c r="D22" s="6" t="inlineStr">
        <is>
          <t>Cameras/radar/edge processing only as justified</t>
        </is>
      </c>
      <c r="E22" s="13" t="inlineStr"/>
      <c r="F22" s="15" t="inlineStr"/>
      <c r="G22" s="15" t="inlineStr"/>
      <c r="H22" s="16">
        <f>IF(COUNTA(E22:F22)&lt;2,"",E22*F22)</f>
        <v/>
      </c>
      <c r="I22" s="16">
        <f>IF(COUNTA(E22:G22)&lt;2,"",E22*G22)</f>
        <v/>
      </c>
      <c r="J22" s="15" t="inlineStr"/>
      <c r="K22" s="15" t="inlineStr"/>
      <c r="L22" s="6" t="inlineStr">
        <is>
          <t>DATA REQUIRED FROM MPAJ / SITE SURVEY</t>
        </is>
      </c>
    </row>
    <row r="23" ht="30" customHeight="1">
      <c r="A23" s="6" t="inlineStr">
        <is>
          <t>C018</t>
        </is>
      </c>
      <c r="B23" s="6" t="inlineStr">
        <is>
          <t>SC-X1-N</t>
        </is>
      </c>
      <c r="C23" s="6" t="inlineStr">
        <is>
          <t>Electrical</t>
        </is>
      </c>
      <c r="D23" s="6" t="inlineStr">
        <is>
          <t>Cabinet, UPS, surge and lighting</t>
        </is>
      </c>
      <c r="E23" s="13" t="inlineStr"/>
      <c r="F23" s="15" t="inlineStr"/>
      <c r="G23" s="15" t="inlineStr"/>
      <c r="H23" s="16">
        <f>IF(COUNTA(E23:F23)&lt;2,"",E23*F23)</f>
        <v/>
      </c>
      <c r="I23" s="16">
        <f>IF(COUNTA(E23:G23)&lt;2,"",E23*G23)</f>
        <v/>
      </c>
      <c r="J23" s="15" t="inlineStr"/>
      <c r="K23" s="15" t="inlineStr"/>
      <c r="L23" s="6" t="inlineStr">
        <is>
          <t>DATA REQUIRED FROM MPAJ / SITE SURVEY</t>
        </is>
      </c>
    </row>
    <row r="24" ht="30" customHeight="1">
      <c r="A24" s="6" t="inlineStr">
        <is>
          <t>C019</t>
        </is>
      </c>
      <c r="B24" s="6" t="inlineStr">
        <is>
          <t>SC-X1-N</t>
        </is>
      </c>
      <c r="C24" s="6" t="inlineStr">
        <is>
          <t>ICT</t>
        </is>
      </c>
      <c r="D24" s="6" t="inlineStr">
        <is>
          <t>Secure communications and monitoring integration</t>
        </is>
      </c>
      <c r="E24" s="13" t="inlineStr"/>
      <c r="F24" s="15" t="inlineStr"/>
      <c r="G24" s="15" t="inlineStr"/>
      <c r="H24" s="16">
        <f>IF(COUNTA(E24:F24)&lt;2,"",E24*F24)</f>
        <v/>
      </c>
      <c r="I24" s="16">
        <f>IF(COUNTA(E24:G24)&lt;2,"",E24*G24)</f>
        <v/>
      </c>
      <c r="J24" s="15" t="inlineStr"/>
      <c r="K24" s="15" t="inlineStr"/>
      <c r="L24" s="6" t="inlineStr">
        <is>
          <t>DATA REQUIRED FROM MPAJ / SITE SURVEY</t>
        </is>
      </c>
    </row>
    <row r="25" ht="30" customHeight="1">
      <c r="A25" s="6" t="inlineStr">
        <is>
          <t>C020</t>
        </is>
      </c>
      <c r="B25" s="6" t="inlineStr">
        <is>
          <t>SC-X1-N</t>
        </is>
      </c>
      <c r="C25" s="6" t="inlineStr">
        <is>
          <t>Design</t>
        </is>
      </c>
      <c r="D25" s="6" t="inlineStr">
        <is>
          <t>Survey, detailed design, RSA, testing and approvals</t>
        </is>
      </c>
      <c r="E25" s="13" t="inlineStr"/>
      <c r="F25" s="15" t="inlineStr"/>
      <c r="G25" s="15" t="inlineStr"/>
      <c r="H25" s="16">
        <f>IF(COUNTA(E25:F25)&lt;2,"",E25*F25)</f>
        <v/>
      </c>
      <c r="I25" s="16">
        <f>IF(COUNTA(E25:G25)&lt;2,"",E25*G25)</f>
        <v/>
      </c>
      <c r="J25" s="15" t="inlineStr"/>
      <c r="K25" s="15" t="inlineStr"/>
      <c r="L25" s="6" t="inlineStr">
        <is>
          <t>DATA REQUIRED FROM MPAJ / SITE SURVEY</t>
        </is>
      </c>
    </row>
    <row r="26" ht="30" customHeight="1">
      <c r="A26" s="6" t="inlineStr">
        <is>
          <t>C021</t>
        </is>
      </c>
      <c r="B26" s="6" t="inlineStr">
        <is>
          <t>SC-X1-N</t>
        </is>
      </c>
      <c r="C26" s="6" t="inlineStr">
        <is>
          <t>Operations</t>
        </is>
      </c>
      <c r="D26" s="6" t="inlineStr">
        <is>
          <t>Maintenance, calibration, connectivity and support</t>
        </is>
      </c>
      <c r="E26" s="13" t="inlineStr"/>
      <c r="F26" s="15" t="inlineStr"/>
      <c r="G26" s="15" t="inlineStr"/>
      <c r="H26" s="16">
        <f>IF(COUNTA(E26:F26)&lt;2,"",E26*F26)</f>
        <v/>
      </c>
      <c r="I26" s="16">
        <f>IF(COUNTA(E26:G26)&lt;2,"",E26*G26)</f>
        <v/>
      </c>
      <c r="J26" s="15" t="inlineStr"/>
      <c r="K26" s="15" t="inlineStr"/>
      <c r="L26" s="6" t="inlineStr">
        <is>
          <t>DATA REQUIRED FROM MPAJ / SITE SURVEY</t>
        </is>
      </c>
    </row>
    <row r="27" ht="30" customHeight="1">
      <c r="A27" s="6" t="inlineStr">
        <is>
          <t>C022</t>
        </is>
      </c>
      <c r="B27" s="6" t="inlineStr">
        <is>
          <t>SC-X1-S</t>
        </is>
      </c>
      <c r="C27" s="6" t="inlineStr">
        <is>
          <t>Civil</t>
        </is>
      </c>
      <c r="D27" s="6" t="inlineStr">
        <is>
          <t>Kerb ramps, tactile paving, drainage and refuge works</t>
        </is>
      </c>
      <c r="E27" s="13" t="inlineStr"/>
      <c r="F27" s="15" t="inlineStr"/>
      <c r="G27" s="15" t="inlineStr"/>
      <c r="H27" s="16">
        <f>IF(COUNTA(E27:F27)&lt;2,"",E27*F27)</f>
        <v/>
      </c>
      <c r="I27" s="16">
        <f>IF(COUNTA(E27:G27)&lt;2,"",E27*G27)</f>
        <v/>
      </c>
      <c r="J27" s="15" t="inlineStr"/>
      <c r="K27" s="15" t="inlineStr"/>
      <c r="L27" s="6" t="inlineStr">
        <is>
          <t>DATA REQUIRED FROM MPAJ / SITE SURVEY</t>
        </is>
      </c>
    </row>
    <row r="28" ht="30" customHeight="1">
      <c r="A28" s="6" t="inlineStr">
        <is>
          <t>C023</t>
        </is>
      </c>
      <c r="B28" s="6" t="inlineStr">
        <is>
          <t>SC-X1-S</t>
        </is>
      </c>
      <c r="C28" s="6" t="inlineStr">
        <is>
          <t>Signals</t>
        </is>
      </c>
      <c r="D28" s="6" t="inlineStr">
        <is>
          <t>Controller, heads, poles and accessible indications</t>
        </is>
      </c>
      <c r="E28" s="13" t="inlineStr"/>
      <c r="F28" s="15" t="inlineStr"/>
      <c r="G28" s="15" t="inlineStr"/>
      <c r="H28" s="16">
        <f>IF(COUNTA(E28:F28)&lt;2,"",E28*F28)</f>
        <v/>
      </c>
      <c r="I28" s="16">
        <f>IF(COUNTA(E28:G28)&lt;2,"",E28*G28)</f>
        <v/>
      </c>
      <c r="J28" s="15" t="inlineStr"/>
      <c r="K28" s="15" t="inlineStr"/>
      <c r="L28" s="6" t="inlineStr">
        <is>
          <t>DATA REQUIRED FROM MPAJ / SITE SURVEY</t>
        </is>
      </c>
    </row>
    <row r="29" ht="30" customHeight="1">
      <c r="A29" s="6" t="inlineStr">
        <is>
          <t>C024</t>
        </is>
      </c>
      <c r="B29" s="6" t="inlineStr">
        <is>
          <t>SC-X1-S</t>
        </is>
      </c>
      <c r="C29" s="6" t="inlineStr">
        <is>
          <t>Sensing</t>
        </is>
      </c>
      <c r="D29" s="6" t="inlineStr">
        <is>
          <t>Cameras/radar/edge processing only as justified</t>
        </is>
      </c>
      <c r="E29" s="13" t="inlineStr"/>
      <c r="F29" s="15" t="inlineStr"/>
      <c r="G29" s="15" t="inlineStr"/>
      <c r="H29" s="16">
        <f>IF(COUNTA(E29:F29)&lt;2,"",E29*F29)</f>
        <v/>
      </c>
      <c r="I29" s="16">
        <f>IF(COUNTA(E29:G29)&lt;2,"",E29*G29)</f>
        <v/>
      </c>
      <c r="J29" s="15" t="inlineStr"/>
      <c r="K29" s="15" t="inlineStr"/>
      <c r="L29" s="6" t="inlineStr">
        <is>
          <t>DATA REQUIRED FROM MPAJ / SITE SURVEY</t>
        </is>
      </c>
    </row>
    <row r="30" ht="30" customHeight="1">
      <c r="A30" s="6" t="inlineStr">
        <is>
          <t>C025</t>
        </is>
      </c>
      <c r="B30" s="6" t="inlineStr">
        <is>
          <t>SC-X1-S</t>
        </is>
      </c>
      <c r="C30" s="6" t="inlineStr">
        <is>
          <t>Electrical</t>
        </is>
      </c>
      <c r="D30" s="6" t="inlineStr">
        <is>
          <t>Cabinet, UPS, surge and lighting</t>
        </is>
      </c>
      <c r="E30" s="13" t="inlineStr"/>
      <c r="F30" s="15" t="inlineStr"/>
      <c r="G30" s="15" t="inlineStr"/>
      <c r="H30" s="16">
        <f>IF(COUNTA(E30:F30)&lt;2,"",E30*F30)</f>
        <v/>
      </c>
      <c r="I30" s="16">
        <f>IF(COUNTA(E30:G30)&lt;2,"",E30*G30)</f>
        <v/>
      </c>
      <c r="J30" s="15" t="inlineStr"/>
      <c r="K30" s="15" t="inlineStr"/>
      <c r="L30" s="6" t="inlineStr">
        <is>
          <t>DATA REQUIRED FROM MPAJ / SITE SURVEY</t>
        </is>
      </c>
    </row>
    <row r="31" ht="30" customHeight="1">
      <c r="A31" s="6" t="inlineStr">
        <is>
          <t>C026</t>
        </is>
      </c>
      <c r="B31" s="6" t="inlineStr">
        <is>
          <t>SC-X1-S</t>
        </is>
      </c>
      <c r="C31" s="6" t="inlineStr">
        <is>
          <t>ICT</t>
        </is>
      </c>
      <c r="D31" s="6" t="inlineStr">
        <is>
          <t>Secure communications and monitoring integration</t>
        </is>
      </c>
      <c r="E31" s="13" t="inlineStr"/>
      <c r="F31" s="15" t="inlineStr"/>
      <c r="G31" s="15" t="inlineStr"/>
      <c r="H31" s="16">
        <f>IF(COUNTA(E31:F31)&lt;2,"",E31*F31)</f>
        <v/>
      </c>
      <c r="I31" s="16">
        <f>IF(COUNTA(E31:G31)&lt;2,"",E31*G31)</f>
        <v/>
      </c>
      <c r="J31" s="15" t="inlineStr"/>
      <c r="K31" s="15" t="inlineStr"/>
      <c r="L31" s="6" t="inlineStr">
        <is>
          <t>DATA REQUIRED FROM MPAJ / SITE SURVEY</t>
        </is>
      </c>
    </row>
    <row r="32" ht="30" customHeight="1">
      <c r="A32" s="6" t="inlineStr">
        <is>
          <t>C027</t>
        </is>
      </c>
      <c r="B32" s="6" t="inlineStr">
        <is>
          <t>SC-X1-S</t>
        </is>
      </c>
      <c r="C32" s="6" t="inlineStr">
        <is>
          <t>Design</t>
        </is>
      </c>
      <c r="D32" s="6" t="inlineStr">
        <is>
          <t>Survey, detailed design, RSA, testing and approvals</t>
        </is>
      </c>
      <c r="E32" s="13" t="inlineStr"/>
      <c r="F32" s="15" t="inlineStr"/>
      <c r="G32" s="15" t="inlineStr"/>
      <c r="H32" s="16">
        <f>IF(COUNTA(E32:F32)&lt;2,"",E32*F32)</f>
        <v/>
      </c>
      <c r="I32" s="16">
        <f>IF(COUNTA(E32:G32)&lt;2,"",E32*G32)</f>
        <v/>
      </c>
      <c r="J32" s="15" t="inlineStr"/>
      <c r="K32" s="15" t="inlineStr"/>
      <c r="L32" s="6" t="inlineStr">
        <is>
          <t>DATA REQUIRED FROM MPAJ / SITE SURVEY</t>
        </is>
      </c>
    </row>
    <row r="33" ht="30" customHeight="1">
      <c r="A33" s="6" t="inlineStr">
        <is>
          <t>C028</t>
        </is>
      </c>
      <c r="B33" s="6" t="inlineStr">
        <is>
          <t>SC-X1-S</t>
        </is>
      </c>
      <c r="C33" s="6" t="inlineStr">
        <is>
          <t>Operations</t>
        </is>
      </c>
      <c r="D33" s="6" t="inlineStr">
        <is>
          <t>Maintenance, calibration, connectivity and support</t>
        </is>
      </c>
      <c r="E33" s="13" t="inlineStr"/>
      <c r="F33" s="15" t="inlineStr"/>
      <c r="G33" s="15" t="inlineStr"/>
      <c r="H33" s="16">
        <f>IF(COUNTA(E33:F33)&lt;2,"",E33*F33)</f>
        <v/>
      </c>
      <c r="I33" s="16">
        <f>IF(COUNTA(E33:G33)&lt;2,"",E33*G33)</f>
        <v/>
      </c>
      <c r="J33" s="15" t="inlineStr"/>
      <c r="K33" s="15" t="inlineStr"/>
      <c r="L33" s="6" t="inlineStr">
        <is>
          <t>DATA REQUIRED FROM MPAJ / SITE SURVEY</t>
        </is>
      </c>
    </row>
    <row r="34" ht="30" customHeight="1">
      <c r="F34" s="17" t="n"/>
      <c r="G34" s="17" t="n"/>
      <c r="H34" s="17" t="n"/>
      <c r="I34" s="17" t="n"/>
      <c r="J34" s="17" t="n"/>
      <c r="K34" s="17" t="n"/>
    </row>
    <row r="35" ht="32" customHeight="1">
      <c r="A35" s="5" t="inlineStr">
        <is>
          <t>Configuration</t>
        </is>
      </c>
      <c r="B35" s="5" t="inlineStr">
        <is>
          <t>CAPEX low incl contingency</t>
        </is>
      </c>
      <c r="C35" s="5" t="inlineStr">
        <is>
          <t>CAPEX high incl contingency</t>
        </is>
      </c>
      <c r="D35" s="5" t="inlineStr">
        <is>
          <t>Annual OPEX low</t>
        </is>
      </c>
      <c r="E35" s="5" t="inlineStr">
        <is>
          <t>Annual OPEX high</t>
        </is>
      </c>
      <c r="F35" s="18" t="inlineStr">
        <is>
          <t>10-year lifecycle low</t>
        </is>
      </c>
      <c r="G35" s="18" t="inlineStr">
        <is>
          <t>10-year lifecycle high</t>
        </is>
      </c>
      <c r="H35" s="17" t="n"/>
      <c r="I35" s="17" t="n"/>
      <c r="J35" s="17" t="n"/>
      <c r="K35" s="17" t="n"/>
    </row>
    <row r="36" ht="30" customHeight="1">
      <c r="A36" s="6" t="inlineStr">
        <is>
          <t>SC-T1-N</t>
        </is>
      </c>
      <c r="B36" s="6">
        <f>IF(COUNTIFS(B$6:B$33,A36,H$6:H$33,"&gt;0")=0,"",SUMIF(B$6:B$33,A36,H$6:H$33)*(1+$B$3))</f>
        <v/>
      </c>
      <c r="C36" s="6">
        <f>IF(COUNTIFS(B$6:B$33,A36,I$6:I$33,"&gt;0")=0,"",SUMIF(B$6:B$33,A36,I$6:I$33)*(1+$B$3))</f>
        <v/>
      </c>
      <c r="D36" s="6">
        <f>IF(COUNTIFS(B$6:B$33,A36,J$6:J$33,"&gt;0")=0,"",SUMIF(B$6:B$33,A36,J$6:J$33))</f>
        <v/>
      </c>
      <c r="E36" s="6">
        <f>IF(COUNTIFS(B$6:B$33,A36,K$6:K$33,"&gt;0")=0,"",SUMIF(B$6:B$33,A36,K$6:K$33))</f>
        <v/>
      </c>
      <c r="F36" s="16">
        <f>IF(OR(B36="",D36=""),"",B36+D36*$E$3)</f>
        <v/>
      </c>
      <c r="G36" s="16">
        <f>IF(OR(C36="",E36=""),"",C36+E36*$E$3)</f>
        <v/>
      </c>
      <c r="H36" s="17" t="n"/>
      <c r="I36" s="17" t="n"/>
      <c r="J36" s="17" t="n"/>
      <c r="K36" s="17" t="n"/>
    </row>
    <row r="37" ht="30" customHeight="1">
      <c r="A37" s="6" t="inlineStr">
        <is>
          <t>SC-T1-S</t>
        </is>
      </c>
      <c r="B37" s="6">
        <f>IF(COUNTIFS(B$6:B$33,A37,H$6:H$33,"&gt;0")=0,"",SUMIF(B$6:B$33,A37,H$6:H$33)*(1+$B$3))</f>
        <v/>
      </c>
      <c r="C37" s="6">
        <f>IF(COUNTIFS(B$6:B$33,A37,I$6:I$33,"&gt;0")=0,"",SUMIF(B$6:B$33,A37,I$6:I$33)*(1+$B$3))</f>
        <v/>
      </c>
      <c r="D37" s="6">
        <f>IF(COUNTIFS(B$6:B$33,A37,J$6:J$33,"&gt;0")=0,"",SUMIF(B$6:B$33,A37,J$6:J$33))</f>
        <v/>
      </c>
      <c r="E37" s="6">
        <f>IF(COUNTIFS(B$6:B$33,A37,K$6:K$33,"&gt;0")=0,"",SUMIF(B$6:B$33,A37,K$6:K$33))</f>
        <v/>
      </c>
      <c r="F37" s="16">
        <f>IF(OR(B37="",D37=""),"",B37+D37*$E$3)</f>
        <v/>
      </c>
      <c r="G37" s="16">
        <f>IF(OR(C37="",E37=""),"",C37+E37*$E$3)</f>
        <v/>
      </c>
      <c r="H37" s="17" t="n"/>
      <c r="I37" s="17" t="n"/>
      <c r="J37" s="17" t="n"/>
      <c r="K37" s="17" t="n"/>
    </row>
    <row r="38" ht="30" customHeight="1">
      <c r="A38" s="6" t="inlineStr">
        <is>
          <t>SC-X1-N</t>
        </is>
      </c>
      <c r="B38" s="6">
        <f>IF(COUNTIFS(B$6:B$33,A38,H$6:H$33,"&gt;0")=0,"",SUMIF(B$6:B$33,A38,H$6:H$33)*(1+$B$3))</f>
        <v/>
      </c>
      <c r="C38" s="6">
        <f>IF(COUNTIFS(B$6:B$33,A38,I$6:I$33,"&gt;0")=0,"",SUMIF(B$6:B$33,A38,I$6:I$33)*(1+$B$3))</f>
        <v/>
      </c>
      <c r="D38" s="6">
        <f>IF(COUNTIFS(B$6:B$33,A38,J$6:J$33,"&gt;0")=0,"",SUMIF(B$6:B$33,A38,J$6:J$33))</f>
        <v/>
      </c>
      <c r="E38" s="6">
        <f>IF(COUNTIFS(B$6:B$33,A38,K$6:K$33,"&gt;0")=0,"",SUMIF(B$6:B$33,A38,K$6:K$33))</f>
        <v/>
      </c>
      <c r="F38" s="16">
        <f>IF(OR(B38="",D38=""),"",B38+D38*$E$3)</f>
        <v/>
      </c>
      <c r="G38" s="16">
        <f>IF(OR(C38="",E38=""),"",C38+E38*$E$3)</f>
        <v/>
      </c>
      <c r="H38" s="17" t="n"/>
      <c r="I38" s="17" t="n"/>
      <c r="J38" s="17" t="n"/>
      <c r="K38" s="17" t="n"/>
    </row>
    <row r="39" ht="30" customHeight="1">
      <c r="A39" s="6" t="inlineStr">
        <is>
          <t>SC-X1-S</t>
        </is>
      </c>
      <c r="B39" s="6">
        <f>IF(COUNTIFS(B$6:B$33,A39,H$6:H$33,"&gt;0")=0,"",SUMIF(B$6:B$33,A39,H$6:H$33)*(1+$B$3))</f>
        <v/>
      </c>
      <c r="C39" s="6">
        <f>IF(COUNTIFS(B$6:B$33,A39,I$6:I$33,"&gt;0")=0,"",SUMIF(B$6:B$33,A39,I$6:I$33)*(1+$B$3))</f>
        <v/>
      </c>
      <c r="D39" s="6">
        <f>IF(COUNTIFS(B$6:B$33,A39,J$6:J$33,"&gt;0")=0,"",SUMIF(B$6:B$33,A39,J$6:J$33))</f>
        <v/>
      </c>
      <c r="E39" s="6">
        <f>IF(COUNTIFS(B$6:B$33,A39,K$6:K$33,"&gt;0")=0,"",SUMIF(B$6:B$33,A39,K$6:K$33))</f>
        <v/>
      </c>
      <c r="F39" s="16">
        <f>IF(OR(B39="",D39=""),"",B39+D39*$E$3)</f>
        <v/>
      </c>
      <c r="G39" s="16">
        <f>IF(OR(C39="",E39=""),"",C39+E39*$E$3)</f>
        <v/>
      </c>
      <c r="H39" s="17" t="n"/>
      <c r="I39" s="17" t="n"/>
      <c r="J39" s="17" t="n"/>
      <c r="K39" s="17" t="n"/>
    </row>
  </sheetData>
  <mergeCells count="2">
    <mergeCell ref="A2:L2"/>
    <mergeCell ref="A1:L1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3" customWidth="1" min="3" max="3"/>
    <col width="12" customWidth="1" min="4" max="4"/>
    <col width="14" customWidth="1" min="5" max="5"/>
    <col width="14" customWidth="1" min="6" max="6"/>
    <col width="14" customWidth="1" min="7" max="7"/>
    <col width="18" customWidth="1" min="8" max="8"/>
    <col width="52" customWidth="1" min="9" max="9"/>
    <col width="31" customWidth="1" min="10" max="10"/>
  </cols>
  <sheetData>
    <row r="1" ht="34" customHeight="1">
      <c r="A1" s="1" t="inlineStr">
        <is>
          <t>KPI Framework</t>
        </is>
      </c>
    </row>
    <row r="2" ht="30" customHeight="1">
      <c r="A2" s="2" t="inlineStr">
        <is>
          <t>Targets remain blank until baseline measurements and approved pilot objectives are established.</t>
        </is>
      </c>
    </row>
    <row r="3" ht="32" customHeight="1">
      <c r="A3" s="5" t="inlineStr">
        <is>
          <t>KPI ID</t>
        </is>
      </c>
      <c r="B3" s="5" t="inlineStr">
        <is>
          <t>KPI</t>
        </is>
      </c>
      <c r="C3" s="5" t="inlineStr">
        <is>
          <t>Unit</t>
        </is>
      </c>
      <c r="D3" s="5" t="inlineStr">
        <is>
          <t>Direction</t>
        </is>
      </c>
      <c r="E3" s="5" t="inlineStr">
        <is>
          <t>Baseline</t>
        </is>
      </c>
      <c r="F3" s="5" t="inlineStr">
        <is>
          <t>Target</t>
        </is>
      </c>
      <c r="G3" s="5" t="inlineStr">
        <is>
          <t>Post-pilot</t>
        </is>
      </c>
      <c r="H3" s="5" t="inlineStr">
        <is>
          <t>Target status</t>
        </is>
      </c>
      <c r="I3" s="5" t="inlineStr">
        <is>
          <t>Method</t>
        </is>
      </c>
      <c r="J3" s="5" t="inlineStr">
        <is>
          <t>Frequency</t>
        </is>
      </c>
    </row>
    <row r="4" ht="30" customHeight="1">
      <c r="A4" s="6" t="inlineStr">
        <is>
          <t>K01</t>
        </is>
      </c>
      <c r="B4" s="6" t="inlineStr">
        <is>
          <t>Pedestrian-vehicle conflicts</t>
        </is>
      </c>
      <c r="C4" s="6" t="inlineStr">
        <is>
          <t>conflicts/100 crossings</t>
        </is>
      </c>
      <c r="D4" s="6" t="inlineStr">
        <is>
          <t>Lower</t>
        </is>
      </c>
      <c r="E4" s="13" t="inlineStr"/>
      <c r="F4" s="13" t="inlineStr"/>
      <c r="G4" s="13" t="inlineStr"/>
      <c r="H4" s="6">
        <f>IF(OR(E4="",F4="",G4=""),"Data Required",IF(D4="Higher",IF(G4&gt;=F4,"Met","Not met"),IF(G4&lt;=F4,"Met","Not met")))</f>
        <v/>
      </c>
      <c r="I4" s="6" t="inlineStr">
        <is>
          <t>Before/after matched observation with documented definitions</t>
        </is>
      </c>
      <c r="J4" s="6" t="inlineStr">
        <is>
          <t>Baseline and agreed review intervals</t>
        </is>
      </c>
    </row>
    <row r="5" ht="30" customHeight="1">
      <c r="A5" s="6" t="inlineStr">
        <is>
          <t>K02</t>
        </is>
      </c>
      <c r="B5" s="6" t="inlineStr">
        <is>
          <t>Speeding violations</t>
        </is>
      </c>
      <c r="C5" s="6" t="inlineStr">
        <is>
          <t>events/hour</t>
        </is>
      </c>
      <c r="D5" s="6" t="inlineStr">
        <is>
          <t>Lower</t>
        </is>
      </c>
      <c r="E5" s="13" t="inlineStr"/>
      <c r="F5" s="13" t="inlineStr"/>
      <c r="G5" s="13" t="inlineStr"/>
      <c r="H5" s="6">
        <f>IF(OR(E5="",F5="",G5=""),"Data Required",IF(D5="Higher",IF(G5&gt;=F5,"Met","Not met"),IF(G5&lt;=F5,"Met","Not met")))</f>
        <v/>
      </c>
      <c r="I5" s="6" t="inlineStr">
        <is>
          <t>Before/after matched observation with documented definitions</t>
        </is>
      </c>
      <c r="J5" s="6" t="inlineStr">
        <is>
          <t>Baseline and agreed review intervals</t>
        </is>
      </c>
    </row>
    <row r="6" ht="30" customHeight="1">
      <c r="A6" s="6" t="inlineStr">
        <is>
          <t>K03</t>
        </is>
      </c>
      <c r="B6" s="6" t="inlineStr">
        <is>
          <t>Stop-line/red-light violations</t>
        </is>
      </c>
      <c r="C6" s="6" t="inlineStr">
        <is>
          <t>events/hour</t>
        </is>
      </c>
      <c r="D6" s="6" t="inlineStr">
        <is>
          <t>Lower</t>
        </is>
      </c>
      <c r="E6" s="13" t="inlineStr"/>
      <c r="F6" s="13" t="inlineStr"/>
      <c r="G6" s="13" t="inlineStr"/>
      <c r="H6" s="6">
        <f>IF(OR(E6="",F6="",G6=""),"Data Required",IF(D6="Higher",IF(G6&gt;=F6,"Met","Not met"),IF(G6&lt;=F6,"Met","Not met")))</f>
        <v/>
      </c>
      <c r="I6" s="6" t="inlineStr">
        <is>
          <t>Before/after matched observation with documented definitions</t>
        </is>
      </c>
      <c r="J6" s="6" t="inlineStr">
        <is>
          <t>Baseline and agreed review intervals</t>
        </is>
      </c>
    </row>
    <row r="7" ht="30" customHeight="1">
      <c r="A7" s="6" t="inlineStr">
        <is>
          <t>K04</t>
        </is>
      </c>
      <c r="B7" s="6" t="inlineStr">
        <is>
          <t>Driver yielding compliance</t>
        </is>
      </c>
      <c r="C7" s="6" t="inlineStr">
        <is>
          <t>%</t>
        </is>
      </c>
      <c r="D7" s="6" t="inlineStr">
        <is>
          <t>Higher</t>
        </is>
      </c>
      <c r="E7" s="13" t="inlineStr"/>
      <c r="F7" s="13" t="inlineStr"/>
      <c r="G7" s="13" t="inlineStr"/>
      <c r="H7" s="6">
        <f>IF(OR(E7="",F7="",G7=""),"Data Required",IF(D7="Higher",IF(G7&gt;=F7,"Met","Not met"),IF(G7&lt;=F7,"Met","Not met")))</f>
        <v/>
      </c>
      <c r="I7" s="6" t="inlineStr">
        <is>
          <t>Before/after matched observation with documented definitions</t>
        </is>
      </c>
      <c r="J7" s="6" t="inlineStr">
        <is>
          <t>Baseline and agreed review intervals</t>
        </is>
      </c>
    </row>
    <row r="8" ht="30" customHeight="1">
      <c r="A8" s="6" t="inlineStr">
        <is>
          <t>K05</t>
        </is>
      </c>
      <c r="B8" s="6" t="inlineStr">
        <is>
          <t>Pedestrian waiting time</t>
        </is>
      </c>
      <c r="C8" s="6" t="inlineStr">
        <is>
          <t>seconds</t>
        </is>
      </c>
      <c r="D8" s="6" t="inlineStr">
        <is>
          <t>Lower</t>
        </is>
      </c>
      <c r="E8" s="13" t="inlineStr"/>
      <c r="F8" s="13" t="inlineStr"/>
      <c r="G8" s="13" t="inlineStr"/>
      <c r="H8" s="6">
        <f>IF(OR(E8="",F8="",G8=""),"Data Required",IF(D8="Higher",IF(G8&gt;=F8,"Met","Not met"),IF(G8&lt;=F8,"Met","Not met")))</f>
        <v/>
      </c>
      <c r="I8" s="6" t="inlineStr">
        <is>
          <t>Before/after matched observation with documented definitions</t>
        </is>
      </c>
      <c r="J8" s="6" t="inlineStr">
        <is>
          <t>Baseline and agreed review intervals</t>
        </is>
      </c>
    </row>
    <row r="9" ht="30" customHeight="1">
      <c r="A9" s="6" t="inlineStr">
        <is>
          <t>K06</t>
        </is>
      </c>
      <c r="B9" s="6" t="inlineStr">
        <is>
          <t>Crossing completion rate</t>
        </is>
      </c>
      <c r="C9" s="6" t="inlineStr">
        <is>
          <t>%</t>
        </is>
      </c>
      <c r="D9" s="6" t="inlineStr">
        <is>
          <t>Higher</t>
        </is>
      </c>
      <c r="E9" s="13" t="inlineStr"/>
      <c r="F9" s="13" t="inlineStr"/>
      <c r="G9" s="13" t="inlineStr"/>
      <c r="H9" s="6">
        <f>IF(OR(E9="",F9="",G9=""),"Data Required",IF(D9="Higher",IF(G9&gt;=F9,"Met","Not met"),IF(G9&lt;=F9,"Met","Not met")))</f>
        <v/>
      </c>
      <c r="I9" s="6" t="inlineStr">
        <is>
          <t>Before/after matched observation with documented definitions</t>
        </is>
      </c>
      <c r="J9" s="6" t="inlineStr">
        <is>
          <t>Baseline and agreed review intervals</t>
        </is>
      </c>
    </row>
    <row r="10" ht="30" customHeight="1">
      <c r="A10" s="6" t="inlineStr">
        <is>
          <t>K07</t>
        </is>
      </c>
      <c r="B10" s="6" t="inlineStr">
        <is>
          <t>Vehicle delay</t>
        </is>
      </c>
      <c r="C10" s="6" t="inlineStr">
        <is>
          <t>seconds/vehicle</t>
        </is>
      </c>
      <c r="D10" s="6" t="inlineStr">
        <is>
          <t>Lower</t>
        </is>
      </c>
      <c r="E10" s="13" t="inlineStr"/>
      <c r="F10" s="13" t="inlineStr"/>
      <c r="G10" s="13" t="inlineStr"/>
      <c r="H10" s="6">
        <f>IF(OR(E10="",F10="",G10=""),"Data Required",IF(D10="Higher",IF(G10&gt;=F10,"Met","Not met"),IF(G10&lt;=F10,"Met","Not met")))</f>
        <v/>
      </c>
      <c r="I10" s="6" t="inlineStr">
        <is>
          <t>Before/after matched observation with documented definitions</t>
        </is>
      </c>
      <c r="J10" s="6" t="inlineStr">
        <is>
          <t>Baseline and agreed review intervals</t>
        </is>
      </c>
    </row>
    <row r="11" ht="30" customHeight="1">
      <c r="A11" s="6" t="inlineStr">
        <is>
          <t>K08</t>
        </is>
      </c>
      <c r="B11" s="6" t="inlineStr">
        <is>
          <t>95th-percentile queue length</t>
        </is>
      </c>
      <c r="C11" s="6" t="inlineStr">
        <is>
          <t>m</t>
        </is>
      </c>
      <c r="D11" s="6" t="inlineStr">
        <is>
          <t>Lower</t>
        </is>
      </c>
      <c r="E11" s="13" t="inlineStr"/>
      <c r="F11" s="13" t="inlineStr"/>
      <c r="G11" s="13" t="inlineStr"/>
      <c r="H11" s="6">
        <f>IF(OR(E11="",F11="",G11=""),"Data Required",IF(D11="Higher",IF(G11&gt;=F11,"Met","Not met"),IF(G11&lt;=F11,"Met","Not met")))</f>
        <v/>
      </c>
      <c r="I11" s="6" t="inlineStr">
        <is>
          <t>Before/after matched observation with documented definitions</t>
        </is>
      </c>
      <c r="J11" s="6" t="inlineStr">
        <is>
          <t>Baseline and agreed review intervals</t>
        </is>
      </c>
    </row>
    <row r="12" ht="30" customHeight="1">
      <c r="A12" s="6" t="inlineStr">
        <is>
          <t>K09</t>
        </is>
      </c>
      <c r="B12" s="6" t="inlineStr">
        <is>
          <t>Detection accuracy</t>
        </is>
      </c>
      <c r="C12" s="6" t="inlineStr">
        <is>
          <t>%</t>
        </is>
      </c>
      <c r="D12" s="6" t="inlineStr">
        <is>
          <t>Higher</t>
        </is>
      </c>
      <c r="E12" s="13" t="inlineStr"/>
      <c r="F12" s="13" t="inlineStr"/>
      <c r="G12" s="13" t="inlineStr"/>
      <c r="H12" s="6">
        <f>IF(OR(E12="",F12="",G12=""),"Data Required",IF(D12="Higher",IF(G12&gt;=F12,"Met","Not met"),IF(G12&lt;=F12,"Met","Not met")))</f>
        <v/>
      </c>
      <c r="I12" s="6" t="inlineStr">
        <is>
          <t>Before/after matched observation with documented definitions</t>
        </is>
      </c>
      <c r="J12" s="6" t="inlineStr">
        <is>
          <t>Baseline and agreed review intervals</t>
        </is>
      </c>
    </row>
    <row r="13" ht="30" customHeight="1">
      <c r="A13" s="6" t="inlineStr">
        <is>
          <t>K10</t>
        </is>
      </c>
      <c r="B13" s="6" t="inlineStr">
        <is>
          <t>False-positive rate</t>
        </is>
      </c>
      <c r="C13" s="6" t="inlineStr">
        <is>
          <t>%</t>
        </is>
      </c>
      <c r="D13" s="6" t="inlineStr">
        <is>
          <t>Lower</t>
        </is>
      </c>
      <c r="E13" s="13" t="inlineStr"/>
      <c r="F13" s="13" t="inlineStr"/>
      <c r="G13" s="13" t="inlineStr"/>
      <c r="H13" s="6">
        <f>IF(OR(E13="",F13="",G13=""),"Data Required",IF(D13="Higher",IF(G13&gt;=F13,"Met","Not met"),IF(G13&lt;=F13,"Met","Not met")))</f>
        <v/>
      </c>
      <c r="I13" s="6" t="inlineStr">
        <is>
          <t>Before/after matched observation with documented definitions</t>
        </is>
      </c>
      <c r="J13" s="6" t="inlineStr">
        <is>
          <t>Baseline and agreed review intervals</t>
        </is>
      </c>
    </row>
    <row r="14" ht="30" customHeight="1">
      <c r="A14" s="6" t="inlineStr">
        <is>
          <t>K11</t>
        </is>
      </c>
      <c r="B14" s="6" t="inlineStr">
        <is>
          <t>False-negative rate</t>
        </is>
      </c>
      <c r="C14" s="6" t="inlineStr">
        <is>
          <t>%</t>
        </is>
      </c>
      <c r="D14" s="6" t="inlineStr">
        <is>
          <t>Lower</t>
        </is>
      </c>
      <c r="E14" s="13" t="inlineStr"/>
      <c r="F14" s="13" t="inlineStr"/>
      <c r="G14" s="13" t="inlineStr"/>
      <c r="H14" s="6">
        <f>IF(OR(E14="",F14="",G14=""),"Data Required",IF(D14="Higher",IF(G14&gt;=F14,"Met","Not met"),IF(G14&lt;=F14,"Met","Not met")))</f>
        <v/>
      </c>
      <c r="I14" s="6" t="inlineStr">
        <is>
          <t>Before/after matched observation with documented definitions</t>
        </is>
      </c>
      <c r="J14" s="6" t="inlineStr">
        <is>
          <t>Baseline and agreed review intervals</t>
        </is>
      </c>
    </row>
    <row r="15" ht="30" customHeight="1">
      <c r="A15" s="6" t="inlineStr">
        <is>
          <t>K12</t>
        </is>
      </c>
      <c r="B15" s="6" t="inlineStr">
        <is>
          <t>System availability</t>
        </is>
      </c>
      <c r="C15" s="6" t="inlineStr">
        <is>
          <t>%</t>
        </is>
      </c>
      <c r="D15" s="6" t="inlineStr">
        <is>
          <t>Higher</t>
        </is>
      </c>
      <c r="E15" s="13" t="inlineStr"/>
      <c r="F15" s="13" t="inlineStr"/>
      <c r="G15" s="13" t="inlineStr"/>
      <c r="H15" s="6">
        <f>IF(OR(E15="",F15="",G15=""),"Data Required",IF(D15="Higher",IF(G15&gt;=F15,"Met","Not met"),IF(G15&lt;=F15,"Met","Not met")))</f>
        <v/>
      </c>
      <c r="I15" s="6" t="inlineStr">
        <is>
          <t>Before/after matched observation with documented definitions</t>
        </is>
      </c>
      <c r="J15" s="6" t="inlineStr">
        <is>
          <t>Baseline and agreed review intervals</t>
        </is>
      </c>
    </row>
    <row r="16" ht="30" customHeight="1">
      <c r="A16" s="6" t="inlineStr">
        <is>
          <t>K13</t>
        </is>
      </c>
      <c r="B16" s="6" t="inlineStr">
        <is>
          <t>Incident response time</t>
        </is>
      </c>
      <c r="C16" s="6" t="inlineStr">
        <is>
          <t>minutes</t>
        </is>
      </c>
      <c r="D16" s="6" t="inlineStr">
        <is>
          <t>Lower</t>
        </is>
      </c>
      <c r="E16" s="13" t="inlineStr"/>
      <c r="F16" s="13" t="inlineStr"/>
      <c r="G16" s="13" t="inlineStr"/>
      <c r="H16" s="6">
        <f>IF(OR(E16="",F16="",G16=""),"Data Required",IF(D16="Higher",IF(G16&gt;=F16,"Met","Not met"),IF(G16&lt;=F16,"Met","Not met")))</f>
        <v/>
      </c>
      <c r="I16" s="6" t="inlineStr">
        <is>
          <t>Before/after matched observation with documented definitions</t>
        </is>
      </c>
      <c r="J16" s="6" t="inlineStr">
        <is>
          <t>Baseline and agreed review intervals</t>
        </is>
      </c>
    </row>
    <row r="17" ht="30" customHeight="1">
      <c r="A17" s="6" t="inlineStr">
        <is>
          <t>K14</t>
        </is>
      </c>
      <c r="B17" s="6" t="inlineStr">
        <is>
          <t>Accessibility task completion</t>
        </is>
      </c>
      <c r="C17" s="6" t="inlineStr">
        <is>
          <t>%</t>
        </is>
      </c>
      <c r="D17" s="6" t="inlineStr">
        <is>
          <t>Higher</t>
        </is>
      </c>
      <c r="E17" s="13" t="inlineStr"/>
      <c r="F17" s="13" t="inlineStr"/>
      <c r="G17" s="13" t="inlineStr"/>
      <c r="H17" s="6">
        <f>IF(OR(E17="",F17="",G17=""),"Data Required",IF(D17="Higher",IF(G17&gt;=F17,"Met","Not met"),IF(G17&lt;=F17,"Met","Not met")))</f>
        <v/>
      </c>
      <c r="I17" s="6" t="inlineStr">
        <is>
          <t>Before/after matched observation with documented definitions</t>
        </is>
      </c>
      <c r="J17" s="6" t="inlineStr">
        <is>
          <t>Baseline and agreed review intervals</t>
        </is>
      </c>
    </row>
    <row r="18" ht="30" customHeight="1">
      <c r="A18" s="6" t="inlineStr">
        <is>
          <t>K15</t>
        </is>
      </c>
      <c r="B18" s="6" t="inlineStr">
        <is>
          <t>Maintenance cost per site</t>
        </is>
      </c>
      <c r="C18" s="6" t="inlineStr">
        <is>
          <t>RM/year</t>
        </is>
      </c>
      <c r="D18" s="6" t="inlineStr">
        <is>
          <t>Lower</t>
        </is>
      </c>
      <c r="E18" s="13" t="inlineStr"/>
      <c r="F18" s="13" t="inlineStr"/>
      <c r="G18" s="13" t="inlineStr"/>
      <c r="H18" s="6">
        <f>IF(OR(E18="",F18="",G18=""),"Data Required",IF(D18="Higher",IF(G18&gt;=F18,"Met","Not met"),IF(G18&lt;=F18,"Met","Not met")))</f>
        <v/>
      </c>
      <c r="I18" s="6" t="inlineStr">
        <is>
          <t>Before/after matched observation with documented definitions</t>
        </is>
      </c>
      <c r="J18" s="6" t="inlineStr">
        <is>
          <t>Baseline and agreed review intervals</t>
        </is>
      </c>
    </row>
    <row r="19" ht="30" customHeight="1">
      <c r="A19" s="6" t="inlineStr">
        <is>
          <t>K16</t>
        </is>
      </c>
      <c r="B19" s="6" t="inlineStr">
        <is>
          <t>Public satisfaction</t>
        </is>
      </c>
      <c r="C19" s="6" t="inlineStr">
        <is>
          <t>% positive</t>
        </is>
      </c>
      <c r="D19" s="6" t="inlineStr">
        <is>
          <t>Higher</t>
        </is>
      </c>
      <c r="E19" s="13" t="inlineStr"/>
      <c r="F19" s="13" t="inlineStr"/>
      <c r="G19" s="13" t="inlineStr"/>
      <c r="H19" s="6">
        <f>IF(OR(E19="",F19="",G19=""),"Data Required",IF(D19="Higher",IF(G19&gt;=F19,"Met","Not met"),IF(G19&lt;=F19,"Met","Not met")))</f>
        <v/>
      </c>
      <c r="I19" s="6" t="inlineStr">
        <is>
          <t>Before/after matched observation with documented definitions</t>
        </is>
      </c>
      <c r="J19" s="6" t="inlineStr">
        <is>
          <t>Baseline and agreed review intervals</t>
        </is>
      </c>
    </row>
  </sheetData>
  <mergeCells count="2">
    <mergeCell ref="A1:J1"/>
    <mergeCell ref="A2:J2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5" customWidth="1" min="3" max="3"/>
    <col width="31" customWidth="1" min="4" max="4"/>
    <col width="20" customWidth="1" min="5" max="5"/>
    <col width="37" customWidth="1" min="6" max="6"/>
    <col width="30" customWidth="1" min="7" max="7"/>
    <col width="18" customWidth="1" min="8" max="8"/>
    <col width="28" customWidth="1" min="9" max="9"/>
  </cols>
  <sheetData>
    <row r="1" ht="34" customHeight="1">
      <c r="A1" s="1" t="inlineStr">
        <is>
          <t>Pilot Implementation Plan</t>
        </is>
      </c>
    </row>
    <row r="2" ht="30" customHeight="1">
      <c r="A2" s="2" t="inlineStr">
        <is>
          <t>Parallel concept pilots only after independent approval of each site and all mandatory gates.</t>
        </is>
      </c>
    </row>
    <row r="3" ht="32" customHeight="1">
      <c r="A3" s="5" t="inlineStr">
        <is>
          <t>Phase</t>
        </is>
      </c>
      <c r="B3" s="5" t="inlineStr">
        <is>
          <t>Activity</t>
        </is>
      </c>
      <c r="C3" s="5" t="inlineStr">
        <is>
          <t>Predecessor</t>
        </is>
      </c>
      <c r="D3" s="5" t="inlineStr">
        <is>
          <t>Owner</t>
        </is>
      </c>
      <c r="E3" s="5" t="inlineStr">
        <is>
          <t>Indicative duration</t>
        </is>
      </c>
      <c r="F3" s="5" t="inlineStr">
        <is>
          <t>Approval gate</t>
        </is>
      </c>
      <c r="G3" s="5" t="inlineStr">
        <is>
          <t>Deliverable</t>
        </is>
      </c>
      <c r="H3" s="5" t="inlineStr">
        <is>
          <t>Status</t>
        </is>
      </c>
      <c r="I3" s="5" t="inlineStr">
        <is>
          <t>Decision</t>
        </is>
      </c>
    </row>
    <row r="4" ht="30" customHeight="1">
      <c r="A4" s="6" t="n">
        <v>1</v>
      </c>
      <c r="B4" s="6" t="inlineStr">
        <is>
          <t>Nominate one T-junction and one crossroads candidate</t>
        </is>
      </c>
      <c r="C4" s="6" t="inlineStr">
        <is>
          <t>None</t>
        </is>
      </c>
      <c r="D4" s="6" t="inlineStr">
        <is>
          <t>MPAJ</t>
        </is>
      </c>
      <c r="E4" s="6" t="inlineStr">
        <is>
          <t>2-4 weeks</t>
        </is>
      </c>
      <c r="F4" s="6" t="inlineStr">
        <is>
          <t>Road authority identified</t>
        </is>
      </c>
      <c r="G4" s="6" t="inlineStr">
        <is>
          <t>Candidate brief</t>
        </is>
      </c>
      <c r="H4" s="6" t="inlineStr">
        <is>
          <t>Not Started</t>
        </is>
      </c>
      <c r="I4" s="6" t="inlineStr">
        <is>
          <t>Proceed to survey</t>
        </is>
      </c>
    </row>
    <row r="5" ht="30" customHeight="1">
      <c r="A5" s="6" t="n">
        <v>2</v>
      </c>
      <c r="B5" s="6" t="inlineStr">
        <is>
          <t>Baseline field data and stakeholder engagement</t>
        </is>
      </c>
      <c r="C5" s="6" t="inlineStr">
        <is>
          <t>1</t>
        </is>
      </c>
      <c r="D5" s="6" t="inlineStr">
        <is>
          <t>Survey team / MPAJ</t>
        </is>
      </c>
      <c r="E5" s="6" t="inlineStr">
        <is>
          <t>4-8 weeks</t>
        </is>
      </c>
      <c r="F5" s="6" t="inlineStr">
        <is>
          <t>Data quality accepted</t>
        </is>
      </c>
      <c r="G5" s="6" t="inlineStr">
        <is>
          <t>Verified baseline dataset</t>
        </is>
      </c>
      <c r="H5" s="6" t="inlineStr">
        <is>
          <t>Not Started</t>
        </is>
      </c>
      <c r="I5" s="6" t="inlineStr">
        <is>
          <t>Re-score or reject</t>
        </is>
      </c>
    </row>
    <row r="6" ht="30" customHeight="1">
      <c r="A6" s="6" t="n">
        <v>3</v>
      </c>
      <c r="B6" s="6" t="inlineStr">
        <is>
          <t>Site-specific concept and controller feasibility</t>
        </is>
      </c>
      <c r="C6" s="6" t="inlineStr">
        <is>
          <t>2</t>
        </is>
      </c>
      <c r="D6" s="6" t="inlineStr">
        <is>
          <t>Traffic/signal/accessibility engineers</t>
        </is>
      </c>
      <c r="E6" s="6" t="inlineStr">
        <is>
          <t>4-8 weeks</t>
        </is>
      </c>
      <c r="F6" s="6" t="inlineStr">
        <is>
          <t>Safety gates conditional/pass</t>
        </is>
      </c>
      <c r="G6" s="6" t="inlineStr">
        <is>
          <t>Concept design</t>
        </is>
      </c>
      <c r="H6" s="6" t="inlineStr">
        <is>
          <t>Not Started</t>
        </is>
      </c>
      <c r="I6" s="6" t="inlineStr">
        <is>
          <t>RSA submission</t>
        </is>
      </c>
    </row>
    <row r="7" ht="30" customHeight="1">
      <c r="A7" s="6" t="n">
        <v>4</v>
      </c>
      <c r="B7" s="6" t="inlineStr">
        <is>
          <t>Independent road-safety audit and legal/privacy review</t>
        </is>
      </c>
      <c r="C7" s="6" t="inlineStr">
        <is>
          <t>3</t>
        </is>
      </c>
      <c r="D7" s="6" t="inlineStr">
        <is>
          <t>Independent auditor / legal / DPO</t>
        </is>
      </c>
      <c r="E7" s="6" t="inlineStr">
        <is>
          <t>4-6 weeks</t>
        </is>
      </c>
      <c r="F7" s="6" t="inlineStr">
        <is>
          <t>Critical findings closed</t>
        </is>
      </c>
      <c r="G7" s="6" t="inlineStr">
        <is>
          <t>Approved-for-trial package</t>
        </is>
      </c>
      <c r="H7" s="6" t="inlineStr">
        <is>
          <t>Not Started</t>
        </is>
      </c>
      <c r="I7" s="6" t="inlineStr">
        <is>
          <t>Procure or stop</t>
        </is>
      </c>
    </row>
    <row r="8" ht="30" customHeight="1">
      <c r="A8" s="6" t="n">
        <v>5</v>
      </c>
      <c r="B8" s="6" t="inlineStr">
        <is>
          <t>Procurement and controlled installation</t>
        </is>
      </c>
      <c r="C8" s="6" t="inlineStr">
        <is>
          <t>4</t>
        </is>
      </c>
      <c r="D8" s="6" t="inlineStr">
        <is>
          <t>MPAJ / contractor</t>
        </is>
      </c>
      <c r="E8" s="6" t="inlineStr">
        <is>
          <t>Supplier-dependent</t>
        </is>
      </c>
      <c r="F8" s="6" t="inlineStr">
        <is>
          <t>Factory/site acceptance tests</t>
        </is>
      </c>
      <c r="G8" s="6" t="inlineStr">
        <is>
          <t>Installed pilot</t>
        </is>
      </c>
      <c r="H8" s="6" t="inlineStr">
        <is>
          <t>Not Started</t>
        </is>
      </c>
      <c r="I8" s="6" t="inlineStr">
        <is>
          <t>Commission</t>
        </is>
      </c>
    </row>
    <row r="9" ht="30" customHeight="1">
      <c r="A9" s="6" t="n">
        <v>6</v>
      </c>
      <c r="B9" s="6" t="inlineStr">
        <is>
          <t>Controlled commissioning</t>
        </is>
      </c>
      <c r="C9" s="6" t="inlineStr">
        <is>
          <t>5</t>
        </is>
      </c>
      <c r="D9" s="6" t="inlineStr">
        <is>
          <t>Signal engineer / MPAJ / emergency partners</t>
        </is>
      </c>
      <c r="E9" s="6" t="inlineStr">
        <is>
          <t>2-4 weeks</t>
        </is>
      </c>
      <c r="F9" s="6" t="inlineStr">
        <is>
          <t>Interlock/failure tests passed</t>
        </is>
      </c>
      <c r="G9" s="6" t="inlineStr">
        <is>
          <t>Commissioning record</t>
        </is>
      </c>
      <c r="H9" s="6" t="inlineStr">
        <is>
          <t>Not Started</t>
        </is>
      </c>
      <c r="I9" s="6" t="inlineStr">
        <is>
          <t>Limited operation</t>
        </is>
      </c>
    </row>
    <row r="10" ht="30" customHeight="1">
      <c r="A10" s="6" t="n">
        <v>7</v>
      </c>
      <c r="B10" s="6" t="inlineStr">
        <is>
          <t>Monitoring and before-after evaluation</t>
        </is>
      </c>
      <c r="C10" s="6" t="inlineStr">
        <is>
          <t>6</t>
        </is>
      </c>
      <c r="D10" s="6" t="inlineStr">
        <is>
          <t>Independent evaluator</t>
        </is>
      </c>
      <c r="E10" s="6" t="inlineStr">
        <is>
          <t>6-12 months</t>
        </is>
      </c>
      <c r="F10" s="6" t="inlineStr">
        <is>
          <t>KPI and incident review</t>
        </is>
      </c>
      <c r="G10" s="6" t="inlineStr">
        <is>
          <t>Evaluation report</t>
        </is>
      </c>
      <c r="H10" s="6" t="inlineStr">
        <is>
          <t>Not Started</t>
        </is>
      </c>
      <c r="I10" s="6" t="inlineStr">
        <is>
          <t>Expand/modify/discontinue</t>
        </is>
      </c>
    </row>
    <row r="11" ht="30" customHeight="1">
      <c r="A11" s="6" t="n">
        <v>8</v>
      </c>
      <c r="B11" s="6" t="inlineStr">
        <is>
          <t>Decision and lessons learned</t>
        </is>
      </c>
      <c r="C11" s="6" t="inlineStr">
        <is>
          <t>7</t>
        </is>
      </c>
      <c r="D11" s="6" t="inlineStr">
        <is>
          <t>MPAJ governance board</t>
        </is>
      </c>
      <c r="E11" s="6" t="inlineStr">
        <is>
          <t>2-4 weeks</t>
        </is>
      </c>
      <c r="F11" s="6" t="inlineStr">
        <is>
          <t>Benefits, risks and lifecycle cost accepted</t>
        </is>
      </c>
      <c r="G11" s="6" t="inlineStr">
        <is>
          <t>Final decision</t>
        </is>
      </c>
      <c r="H11" s="6" t="inlineStr">
        <is>
          <t>Not Started</t>
        </is>
      </c>
      <c r="I11" s="6" t="inlineStr">
        <is>
          <t>Scale only if justified</t>
        </is>
      </c>
    </row>
  </sheetData>
  <mergeCells count="2">
    <mergeCell ref="A1:I1"/>
    <mergeCell ref="A2:I2"/>
  </mergeCells>
  <dataValidations count="1">
    <dataValidation sqref="H4:H11" showDropDown="0" showInputMessage="0" showErrorMessage="0" allowBlank="1" type="list">
      <formula1>"Not Started,In Progress,Complete,Blocked,Data Required"</formula1>
    </dataValidation>
  </dataValidation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8" customWidth="1" min="3" max="3"/>
    <col width="27" customWidth="1" min="4" max="4"/>
    <col width="34" customWidth="1" min="5" max="5"/>
    <col width="18" customWidth="1" min="6" max="6"/>
    <col width="36" customWidth="1" min="7" max="7"/>
    <col width="15" customWidth="1" min="8" max="8"/>
  </cols>
  <sheetData>
    <row r="1" ht="34" customHeight="1">
      <c r="A1" s="1" t="inlineStr">
        <is>
          <t>Governance and Privacy</t>
        </is>
      </c>
    </row>
    <row r="2" ht="30" customHeight="1">
      <c r="A2" s="2" t="inlineStr">
        <is>
          <t>Proposed controls require formal allocation, legal review and approved operating procedures.</t>
        </is>
      </c>
    </row>
    <row r="3" ht="32" customHeight="1">
      <c r="A3" s="5" t="inlineStr">
        <is>
          <t>Control ID</t>
        </is>
      </c>
      <c r="B3" s="5" t="inlineStr">
        <is>
          <t>Domain</t>
        </is>
      </c>
      <c r="C3" s="5" t="inlineStr">
        <is>
          <t>Requirement</t>
        </is>
      </c>
      <c r="D3" s="5" t="inlineStr">
        <is>
          <t>Proposed owner</t>
        </is>
      </c>
      <c r="E3" s="5" t="inlineStr">
        <is>
          <t>Evidence / approval</t>
        </is>
      </c>
      <c r="F3" s="5" t="inlineStr">
        <is>
          <t>Status</t>
        </is>
      </c>
      <c r="G3" s="5" t="inlineStr">
        <is>
          <t>Failure response</t>
        </is>
      </c>
      <c r="H3" s="5" t="inlineStr">
        <is>
          <t>Source</t>
        </is>
      </c>
    </row>
    <row r="4" ht="30" customHeight="1">
      <c r="A4" s="6" t="inlineStr">
        <is>
          <t>GV01</t>
        </is>
      </c>
      <c r="B4" s="6" t="inlineStr">
        <is>
          <t>Accountability</t>
        </is>
      </c>
      <c r="C4" s="6" t="inlineStr">
        <is>
          <t>Identify road asset owner and signal-control authority</t>
        </is>
      </c>
      <c r="D4" s="6" t="inlineStr">
        <is>
          <t>MPAJ / JKR / state authority</t>
        </is>
      </c>
      <c r="E4" s="6" t="inlineStr">
        <is>
          <t>DATA REQUIRED FROM MPAJ / SITE SURVEY</t>
        </is>
      </c>
      <c r="F4" s="6" t="inlineStr">
        <is>
          <t>Data Required</t>
        </is>
      </c>
      <c r="G4" s="6" t="inlineStr">
        <is>
          <t>No field change</t>
        </is>
      </c>
      <c r="H4" s="6" t="inlineStr">
        <is>
          <t>SRC-07</t>
        </is>
      </c>
    </row>
    <row r="5" ht="30" customHeight="1">
      <c r="A5" s="6" t="inlineStr">
        <is>
          <t>GV02</t>
        </is>
      </c>
      <c r="B5" s="6" t="inlineStr">
        <is>
          <t>Operations</t>
        </is>
      </c>
      <c r="C5" s="6" t="inlineStr">
        <is>
          <t>24/7 or defined-hours monitoring and incident ownership</t>
        </is>
      </c>
      <c r="D5" s="6" t="inlineStr">
        <is>
          <t>MPAJ</t>
        </is>
      </c>
      <c r="E5" s="6" t="inlineStr">
        <is>
          <t>DATA REQUIRED FROM MPAJ / SITE SURVEY</t>
        </is>
      </c>
      <c r="F5" s="6" t="inlineStr">
        <is>
          <t>Data Required</t>
        </is>
      </c>
      <c r="G5" s="6" t="inlineStr">
        <is>
          <t>Local fail-safe continues</t>
        </is>
      </c>
      <c r="H5" s="6" t="inlineStr">
        <is>
          <t>SRC-04</t>
        </is>
      </c>
    </row>
    <row r="6" ht="30" customHeight="1">
      <c r="A6" s="6" t="inlineStr">
        <is>
          <t>GV03</t>
        </is>
      </c>
      <c r="B6" s="6" t="inlineStr">
        <is>
          <t>Emergency</t>
        </is>
      </c>
      <c r="C6" s="6" t="inlineStr">
        <is>
          <t>Approved police/fire/ambulance escalation SOP</t>
        </is>
      </c>
      <c r="D6" s="6" t="inlineStr">
        <is>
          <t>MPAJ + emergency services</t>
        </is>
      </c>
      <c r="E6" s="6" t="inlineStr">
        <is>
          <t>DATA REQUIRED FROM MPAJ / SITE SURVEY</t>
        </is>
      </c>
      <c r="F6" s="6" t="inlineStr">
        <is>
          <t>Data Required</t>
        </is>
      </c>
      <c r="G6" s="6" t="inlineStr">
        <is>
          <t>No automatic dispatch</t>
        </is>
      </c>
      <c r="H6" s="6" t="inlineStr">
        <is>
          <t>SRC-04</t>
        </is>
      </c>
    </row>
    <row r="7" ht="30" customHeight="1">
      <c r="A7" s="6" t="inlineStr">
        <is>
          <t>GV04</t>
        </is>
      </c>
      <c r="B7" s="6" t="inlineStr">
        <is>
          <t>Privacy</t>
        </is>
      </c>
      <c r="C7" s="6" t="inlineStr">
        <is>
          <t>Document lawful purpose and necessity for CCTV</t>
        </is>
      </c>
      <c r="D7" s="6" t="inlineStr">
        <is>
          <t>MPAJ legal/DPO</t>
        </is>
      </c>
      <c r="E7" s="6" t="inlineStr">
        <is>
          <t>DATA REQUIRED FROM MPAJ / SITE SURVEY</t>
        </is>
      </c>
      <c r="F7" s="6" t="inlineStr">
        <is>
          <t>Data Required</t>
        </is>
      </c>
      <c r="G7" s="6" t="inlineStr">
        <is>
          <t>Disable recording beyond safety minimum</t>
        </is>
      </c>
      <c r="H7" s="6" t="inlineStr">
        <is>
          <t>SRC-08</t>
        </is>
      </c>
    </row>
    <row r="8" ht="30" customHeight="1">
      <c r="A8" s="6" t="inlineStr">
        <is>
          <t>GV05</t>
        </is>
      </c>
      <c r="B8" s="6" t="inlineStr">
        <is>
          <t>Privacy</t>
        </is>
      </c>
      <c r="C8" s="6" t="inlineStr">
        <is>
          <t>Complete DPIA before identifiable video/ANPR</t>
        </is>
      </c>
      <c r="D8" s="6" t="inlineStr">
        <is>
          <t>MPAJ DPO</t>
        </is>
      </c>
      <c r="E8" s="6" t="inlineStr">
        <is>
          <t>DATA REQUIRED FROM MPAJ / SITE SURVEY</t>
        </is>
      </c>
      <c r="F8" s="6" t="inlineStr">
        <is>
          <t>Data Required</t>
        </is>
      </c>
      <c r="G8" s="6" t="inlineStr">
        <is>
          <t>Disable ANPR</t>
        </is>
      </c>
      <c r="H8" s="6" t="inlineStr">
        <is>
          <t>SRC-08</t>
        </is>
      </c>
    </row>
    <row r="9" ht="30" customHeight="1">
      <c r="A9" s="6" t="inlineStr">
        <is>
          <t>GV06</t>
        </is>
      </c>
      <c r="B9" s="6" t="inlineStr">
        <is>
          <t>Privacy</t>
        </is>
      </c>
      <c r="C9" s="6" t="inlineStr">
        <is>
          <t>Minimise data; edge process; privacy mask by default</t>
        </is>
      </c>
      <c r="D9" s="6" t="inlineStr">
        <is>
          <t>System owner</t>
        </is>
      </c>
      <c r="E9" s="6" t="inlineStr">
        <is>
          <t>DATA REQUIRED FROM MPAJ / SITE SURVEY</t>
        </is>
      </c>
      <c r="F9" s="6" t="inlineStr">
        <is>
          <t>Data Required</t>
        </is>
      </c>
      <c r="G9" s="6" t="inlineStr">
        <is>
          <t>Anonymous event only</t>
        </is>
      </c>
      <c r="H9" s="6" t="inlineStr">
        <is>
          <t>SRC-08</t>
        </is>
      </c>
    </row>
    <row r="10" ht="30" customHeight="1">
      <c r="A10" s="6" t="inlineStr">
        <is>
          <t>GV07</t>
        </is>
      </c>
      <c r="B10" s="6" t="inlineStr">
        <is>
          <t>Retention</t>
        </is>
      </c>
      <c r="C10" s="6" t="inlineStr">
        <is>
          <t>Approve event-specific retention and deletion schedule</t>
        </is>
      </c>
      <c r="D10" s="6" t="inlineStr">
        <is>
          <t>Records owner/DPO</t>
        </is>
      </c>
      <c r="E10" s="6" t="inlineStr">
        <is>
          <t>DATA REQUIRED FROM MPAJ / SITE SURVEY</t>
        </is>
      </c>
      <c r="F10" s="6" t="inlineStr">
        <is>
          <t>Data Required</t>
        </is>
      </c>
      <c r="G10" s="6" t="inlineStr">
        <is>
          <t>Automatic deletion; legal hold procedure</t>
        </is>
      </c>
      <c r="H10" s="6" t="inlineStr">
        <is>
          <t>SRC-08</t>
        </is>
      </c>
    </row>
    <row r="11" ht="30" customHeight="1">
      <c r="A11" s="6" t="inlineStr">
        <is>
          <t>GV08</t>
        </is>
      </c>
      <c r="B11" s="6" t="inlineStr">
        <is>
          <t>Access</t>
        </is>
      </c>
      <c r="C11" s="6" t="inlineStr">
        <is>
          <t>RBAC, MFA, least privilege and quarterly review</t>
        </is>
      </c>
      <c r="D11" s="6" t="inlineStr">
        <is>
          <t>ICT security</t>
        </is>
      </c>
      <c r="E11" s="6" t="inlineStr">
        <is>
          <t>DATA REQUIRED FROM MPAJ / SITE SURVEY</t>
        </is>
      </c>
      <c r="F11" s="6" t="inlineStr">
        <is>
          <t>Data Required</t>
        </is>
      </c>
      <c r="G11" s="6" t="inlineStr">
        <is>
          <t>Revoke access; preserve audit log</t>
        </is>
      </c>
      <c r="H11" s="6" t="inlineStr">
        <is>
          <t>SRC-08</t>
        </is>
      </c>
    </row>
    <row r="12" ht="30" customHeight="1">
      <c r="A12" s="6" t="inlineStr">
        <is>
          <t>GV09</t>
        </is>
      </c>
      <c r="B12" s="6" t="inlineStr">
        <is>
          <t>Cybersecurity</t>
        </is>
      </c>
      <c r="C12" s="6" t="inlineStr">
        <is>
          <t>Separate safety controller from analytics network</t>
        </is>
      </c>
      <c r="D12" s="6" t="inlineStr">
        <is>
          <t>Signal/ICT security</t>
        </is>
      </c>
      <c r="E12" s="6" t="inlineStr">
        <is>
          <t>DATA REQUIRED FROM MPAJ / SITE SURVEY</t>
        </is>
      </c>
      <c r="F12" s="6" t="inlineStr">
        <is>
          <t>Data Required</t>
        </is>
      </c>
      <c r="G12" s="6" t="inlineStr">
        <is>
          <t>Controller reverts to safe local plan</t>
        </is>
      </c>
      <c r="H12" s="6" t="inlineStr">
        <is>
          <t>SRC-04</t>
        </is>
      </c>
    </row>
    <row r="13" ht="30" customHeight="1">
      <c r="A13" s="6" t="inlineStr">
        <is>
          <t>GV10</t>
        </is>
      </c>
      <c r="B13" s="6" t="inlineStr">
        <is>
          <t>Cybersecurity</t>
        </is>
      </c>
      <c r="C13" s="6" t="inlineStr">
        <is>
          <t>Signed configurations/updates and asset inventory</t>
        </is>
      </c>
      <c r="D13" s="6" t="inlineStr">
        <is>
          <t>ICT security</t>
        </is>
      </c>
      <c r="E13" s="6" t="inlineStr">
        <is>
          <t>DATA REQUIRED FROM MPAJ / SITE SURVEY</t>
        </is>
      </c>
      <c r="F13" s="6" t="inlineStr">
        <is>
          <t>Data Required</t>
        </is>
      </c>
      <c r="G13" s="6" t="inlineStr">
        <is>
          <t>Rollback; isolate device</t>
        </is>
      </c>
      <c r="H13" s="6" t="inlineStr">
        <is>
          <t>SRC-04</t>
        </is>
      </c>
    </row>
    <row r="14" ht="30" customHeight="1">
      <c r="A14" s="6" t="inlineStr">
        <is>
          <t>GV11</t>
        </is>
      </c>
      <c r="B14" s="6" t="inlineStr">
        <is>
          <t>Assurance</t>
        </is>
      </c>
      <c r="C14" s="6" t="inlineStr">
        <is>
          <t>Independent penetration and safety-interface testing</t>
        </is>
      </c>
      <c r="D14" s="6" t="inlineStr">
        <is>
          <t>Independent assessor</t>
        </is>
      </c>
      <c r="E14" s="6" t="inlineStr">
        <is>
          <t>DATA REQUIRED FROM MPAJ / SITE SURVEY</t>
        </is>
      </c>
      <c r="F14" s="6" t="inlineStr">
        <is>
          <t>Data Required</t>
        </is>
      </c>
      <c r="G14" s="6" t="inlineStr">
        <is>
          <t>No commissioning</t>
        </is>
      </c>
      <c r="H14" s="6" t="inlineStr">
        <is>
          <t>SRC-07</t>
        </is>
      </c>
    </row>
    <row r="15" ht="30" customHeight="1">
      <c r="A15" s="6" t="inlineStr">
        <is>
          <t>GV12</t>
        </is>
      </c>
      <c r="B15" s="6" t="inlineStr">
        <is>
          <t>Maintenance</t>
        </is>
      </c>
      <c r="C15" s="6" t="inlineStr">
        <is>
          <t>Preventive maintenance, calibration and response SLA</t>
        </is>
      </c>
      <c r="D15" s="6" t="inlineStr">
        <is>
          <t>MPAJ/maintainer</t>
        </is>
      </c>
      <c r="E15" s="6" t="inlineStr">
        <is>
          <t>DATA REQUIRED FROM MPAJ / SITE SURVEY</t>
        </is>
      </c>
      <c r="F15" s="6" t="inlineStr">
        <is>
          <t>Data Required</t>
        </is>
      </c>
      <c r="G15" s="6" t="inlineStr">
        <is>
          <t>Fault alert; approved safe mode</t>
        </is>
      </c>
      <c r="H15" s="6" t="inlineStr">
        <is>
          <t>SRC-07</t>
        </is>
      </c>
    </row>
    <row r="16" ht="30" customHeight="1">
      <c r="A16" s="6" t="inlineStr">
        <is>
          <t>GV13</t>
        </is>
      </c>
      <c r="B16" s="6" t="inlineStr">
        <is>
          <t>Transparency</t>
        </is>
      </c>
      <c r="C16" s="6" t="inlineStr">
        <is>
          <t>Public notice, complaint and access channels</t>
        </is>
      </c>
      <c r="D16" s="6" t="inlineStr">
        <is>
          <t>MPAJ communications</t>
        </is>
      </c>
      <c r="E16" s="6" t="inlineStr">
        <is>
          <t>DATA REQUIRED FROM MPAJ / SITE SURVEY</t>
        </is>
      </c>
      <c r="F16" s="6" t="inlineStr">
        <is>
          <t>Data Required</t>
        </is>
      </c>
      <c r="G16" s="6" t="inlineStr">
        <is>
          <t>Suspend non-essential capture</t>
        </is>
      </c>
      <c r="H16" s="6" t="inlineStr">
        <is>
          <t>SRC-08</t>
        </is>
      </c>
    </row>
  </sheetData>
  <mergeCells count="2">
    <mergeCell ref="A2:H2"/>
    <mergeCell ref="A1:H1"/>
  </mergeCells>
  <dataValidations count="1">
    <dataValidation sqref="F4:F16" showDropDown="0" showInputMessage="0" showErrorMessage="0" allowBlank="1" type="list">
      <formula1>"Not Started,In Progress,Complete,Blocked,Data Required"</formula1>
    </dataValidation>
  </dataValidation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20" customWidth="1" min="4" max="4"/>
    <col width="75" customWidth="1" min="5" max="5"/>
    <col width="48" customWidth="1" min="6" max="6"/>
    <col width="50" customWidth="1" min="7" max="7"/>
    <col width="25" customWidth="1" min="8" max="8"/>
  </cols>
  <sheetData>
    <row r="1" ht="34" customHeight="1">
      <c r="A1" s="1" t="inlineStr">
        <is>
          <t>Evidence Register</t>
        </is>
      </c>
    </row>
    <row r="2" ht="30" customHeight="1">
      <c r="A2" s="2" t="inlineStr">
        <is>
          <t>Sources checked for this initial feasibility model. Information last verified 2026-09-07.</t>
        </is>
      </c>
    </row>
    <row r="3" ht="32" customHeight="1">
      <c r="A3" s="5" t="inlineStr">
        <is>
          <t>Source ID</t>
        </is>
      </c>
      <c r="B3" s="5" t="inlineStr">
        <is>
          <t>Title</t>
        </is>
      </c>
      <c r="C3" s="5" t="inlineStr">
        <is>
          <t>Publisher</t>
        </is>
      </c>
      <c r="D3" s="5" t="inlineStr">
        <is>
          <t>Date</t>
        </is>
      </c>
      <c r="E3" s="5" t="inlineStr">
        <is>
          <t>URL / location</t>
        </is>
      </c>
      <c r="F3" s="5" t="inlineStr">
        <is>
          <t>Relevance</t>
        </is>
      </c>
      <c r="G3" s="5" t="inlineStr">
        <is>
          <t>Limitation</t>
        </is>
      </c>
      <c r="H3" s="5" t="inlineStr">
        <is>
          <t>Evidence classification</t>
        </is>
      </c>
    </row>
    <row r="4" ht="30" customHeight="1">
      <c r="A4" s="6" t="inlineStr">
        <is>
          <t>SRC-01</t>
        </is>
      </c>
      <c r="B4" s="6" t="inlineStr">
        <is>
          <t>SmartCross 2.2 repository README and source</t>
        </is>
      </c>
      <c r="C4" s="6" t="inlineStr">
        <is>
          <t>Project repository</t>
        </is>
      </c>
      <c r="D4" s="6" t="inlineStr">
        <is>
          <t>2026-09-07</t>
        </is>
      </c>
      <c r="E4" s="6" t="inlineStr">
        <is>
          <t>Local repository</t>
        </is>
      </c>
      <c r="F4" s="6" t="inlineStr">
        <is>
          <t>Baseline features, safety boundary, modes, scenarios and reporting</t>
        </is>
      </c>
      <c r="G4" s="6" t="inlineStr">
        <is>
          <t>Repository evidence; live visual interaction unavailable</t>
        </is>
      </c>
      <c r="H4" s="6" t="inlineStr">
        <is>
          <t>Verified in repository</t>
        </is>
      </c>
    </row>
    <row r="5" ht="30" customHeight="1">
      <c r="A5" s="6" t="inlineStr">
        <is>
          <t>SRC-02</t>
        </is>
      </c>
      <c r="B5" s="6" t="inlineStr">
        <is>
          <t>SmartCross 2.2 deployed URL</t>
        </is>
      </c>
      <c r="C5" s="6" t="inlineStr">
        <is>
          <t>Project deployment</t>
        </is>
      </c>
      <c r="D5" s="6" t="inlineStr">
        <is>
          <t>2026-09-07</t>
        </is>
      </c>
      <c r="E5" s="6" t="inlineStr">
        <is>
          <t>https://smartcross-v2-pedestrian-simulator.vercel.app/</t>
        </is>
      </c>
      <c r="F5" s="6" t="inlineStr">
        <is>
          <t>Primary live reference</t>
        </is>
      </c>
      <c r="G5" s="6" t="inlineStr">
        <is>
          <t>Browser unavailable and public fetch returned an internal error; visual state not verified</t>
        </is>
      </c>
      <c r="H5" s="6" t="inlineStr">
        <is>
          <t>Authentication prevented verification</t>
        </is>
      </c>
    </row>
    <row r="6" ht="30" customHeight="1">
      <c r="A6" s="6" t="inlineStr">
        <is>
          <t>SRC-03</t>
        </is>
      </c>
      <c r="B6" s="6" t="inlineStr">
        <is>
          <t>ATJ 8/86 (Pindaan 2015), Section 5.9</t>
        </is>
      </c>
      <c r="C6" s="6" t="inlineStr">
        <is>
          <t>Jabatan Kerja Raya Malaysia</t>
        </is>
      </c>
      <c r="D6" s="6" t="inlineStr">
        <is>
          <t>2015</t>
        </is>
      </c>
      <c r="E6" s="6" t="inlineStr">
        <is>
          <t>https://epsmg.jkr.gov.my/images/c/c9/BPIS_ATJ_8-86_19062020.pdf</t>
        </is>
      </c>
      <c r="F6" s="6" t="inlineStr">
        <is>
          <t>Pedestrian-crossing selection, demand and site-condition considerations</t>
        </is>
      </c>
      <c r="G6" s="6" t="inlineStr">
        <is>
          <t>General guidance; individual design and current authority interpretation still required</t>
        </is>
      </c>
      <c r="H6" s="6" t="inlineStr">
        <is>
          <t>Authoritative external source</t>
        </is>
      </c>
    </row>
    <row r="7" ht="30" customHeight="1">
      <c r="A7" s="6" t="inlineStr">
        <is>
          <t>SRC-04</t>
        </is>
      </c>
      <c r="B7" s="6" t="inlineStr">
        <is>
          <t>Malaysia Road Safety Plan 2022-2030</t>
        </is>
      </c>
      <c r="C7" s="6" t="inlineStr">
        <is>
          <t>Ministry of Transport Malaysia</t>
        </is>
      </c>
      <c r="D7" s="6" t="inlineStr">
        <is>
          <t>2022</t>
        </is>
      </c>
      <c r="E7" s="6" t="inlineStr">
        <is>
          <t>https://www.mot.gov.my/en/Pages/Land/Safety%20and%20Security/MRSP%202022-2030%20(1022).pdf</t>
        </is>
      </c>
      <c r="F7" s="6" t="inlineStr">
        <is>
          <t>Safe-system, safer infrastructure, vulnerable users, monitoring and stakeholder coordination</t>
        </is>
      </c>
      <c r="G7" s="6" t="inlineStr">
        <is>
          <t>National strategic direction; not a project design approval</t>
        </is>
      </c>
      <c r="H7" s="6" t="inlineStr">
        <is>
          <t>Authoritative external source</t>
        </is>
      </c>
    </row>
    <row r="8" ht="30" customHeight="1">
      <c r="A8" s="6" t="inlineStr">
        <is>
          <t>SRC-05</t>
        </is>
      </c>
      <c r="B8" s="6" t="inlineStr">
        <is>
          <t>GPP016 Healthy Walkable City</t>
        </is>
      </c>
      <c r="C8" s="6" t="inlineStr">
        <is>
          <t>PLANMalaysia</t>
        </is>
      </c>
      <c r="D8" s="6" t="inlineStr">
        <is>
          <t>2017</t>
        </is>
      </c>
      <c r="E8" s="6" t="inlineStr">
        <is>
          <t>https://stag.planmalaysia.gov.my/planmalaysia/modules_resources/database_stores/17/46_25.pdf</t>
        </is>
      </c>
      <c r="F8" s="6" t="inlineStr">
        <is>
          <t>Crossings, walking connectivity, lighting and inclusive pedestrian planning</t>
        </is>
      </c>
      <c r="G8" s="6" t="inlineStr">
        <is>
          <t>Planning guidance; confirm current adoption and project applicability</t>
        </is>
      </c>
      <c r="H8" s="6" t="inlineStr">
        <is>
          <t>Authoritative external source</t>
        </is>
      </c>
    </row>
    <row r="9" ht="30" customHeight="1">
      <c r="A9" s="6" t="inlineStr">
        <is>
          <t>SRC-06</t>
        </is>
      </c>
      <c r="B9" s="6" t="inlineStr">
        <is>
          <t>MS 1184:2014 MySOL preview</t>
        </is>
      </c>
      <c r="C9" s="6" t="inlineStr">
        <is>
          <t>Department of Standards Malaysia</t>
        </is>
      </c>
      <c r="D9" s="6" t="inlineStr">
        <is>
          <t>2014 / minister approval 2019</t>
        </is>
      </c>
      <c r="E9" s="6" t="inlineStr">
        <is>
          <t>https://mysol.jsm.gov.my/preview-file/eyJpdiI6InNHcGd1VGpTRmxlQnEzanpNbDNtN3c9PSIsInZhbHVlIjoiYkV0MmU1dVROQk9qZ205dUx0U2VGZz09IiwibWFjIjoiNDg2NjIyMzEyNzZjYmZhNjdmN2FlNjYyOGMzM2I2ODY2YTVkMjY1YTQyZTFlMTVjNGU3ODI1MWQ3MTM5OGZlNyJ9</t>
        </is>
      </c>
      <c r="F9" s="6" t="inlineStr">
        <is>
          <t>Published accessibility code of practice</t>
        </is>
      </c>
      <c r="G9" s="6" t="inlineStr">
        <is>
          <t>Full licensed standard and authority interpretation required for compliance</t>
        </is>
      </c>
      <c r="H9" s="6" t="inlineStr">
        <is>
          <t>Authoritative external source</t>
        </is>
      </c>
    </row>
    <row r="10" ht="30" customHeight="1">
      <c r="A10" s="6" t="inlineStr">
        <is>
          <t>SRC-07</t>
        </is>
      </c>
      <c r="B10" s="6" t="inlineStr">
        <is>
          <t>Guidelines on Road Safety Audit Management</t>
        </is>
      </c>
      <c r="C10" s="6" t="inlineStr">
        <is>
          <t>Jabatan Kerja Raya Malaysia</t>
        </is>
      </c>
      <c r="D10" s="6" t="inlineStr">
        <is>
          <t>Publication date not established</t>
        </is>
      </c>
      <c r="E10" s="6" t="inlineStr">
        <is>
          <t>https://epsmg.jkr.gov.my/images/3/34/Guidelines_on_RSA_Management.pdf</t>
        </is>
      </c>
      <c r="F10" s="6" t="inlineStr">
        <is>
          <t>Requires information review, site visit and assessment from all road-user perspectives</t>
        </is>
      </c>
      <c r="G10" s="6" t="inlineStr">
        <is>
          <t>JKR internal-use marking appears on retrieved copy; confirm governing audit process</t>
        </is>
      </c>
      <c r="H10" s="6" t="inlineStr">
        <is>
          <t>Authoritative external source</t>
        </is>
      </c>
    </row>
    <row r="11" ht="30" customHeight="1">
      <c r="A11" s="6" t="inlineStr">
        <is>
          <t>SRC-08</t>
        </is>
      </c>
      <c r="B11" s="6" t="inlineStr">
        <is>
          <t>Personal Data Protection Act 2010 and current guidance portal</t>
        </is>
      </c>
      <c r="C11" s="6" t="inlineStr">
        <is>
          <t>Personal Data Protection Commissioner Malaysia</t>
        </is>
      </c>
      <c r="D11" s="6" t="inlineStr">
        <is>
          <t>2010; portal current 2026</t>
        </is>
      </c>
      <c r="E11" s="6" t="inlineStr">
        <is>
          <t>https://www.pdp.gov.my/ppdpv1/en/akta/pdp-act-2010-en/</t>
        </is>
      </c>
      <c r="F11" s="6" t="inlineStr">
        <is>
          <t>Privacy, DPIA, privacy by design, access and data-breach governance</t>
        </is>
      </c>
      <c r="G11" s="6" t="inlineStr">
        <is>
          <t>Application to public-authority processing and enforcement use requires legal advice</t>
        </is>
      </c>
      <c r="H11" s="6" t="inlineStr">
        <is>
          <t>Authoritative external source</t>
        </is>
      </c>
    </row>
    <row r="12" ht="30" customHeight="1">
      <c r="A12" s="6" t="inlineStr">
        <is>
          <t>SRC-09</t>
        </is>
      </c>
      <c r="B12" s="6" t="inlineStr">
        <is>
          <t>MPAJ Strategic Plan 2026-2030 portal</t>
        </is>
      </c>
      <c r="C12" s="6" t="inlineStr">
        <is>
          <t>Ampang Jaya Municipal Council</t>
        </is>
      </c>
      <c r="D12" s="6" t="inlineStr">
        <is>
          <t>2025</t>
        </is>
      </c>
      <c r="E12" s="6" t="inlineStr">
        <is>
          <t>https://www.mpaj.gov.my/en/mpaj-strategic-plan</t>
        </is>
      </c>
      <c r="F12" s="6" t="inlineStr">
        <is>
          <t>Confirms current strategic-plan publication</t>
        </is>
      </c>
      <c r="G12" s="6" t="inlineStr">
        <is>
          <t>Detailed plan content was not independently extracted for this study</t>
        </is>
      </c>
      <c r="H12" s="6" t="inlineStr">
        <is>
          <t>Partially verified</t>
        </is>
      </c>
    </row>
    <row r="13" ht="30" customHeight="1">
      <c r="A13" s="6" t="inlineStr">
        <is>
          <t>SRC-10</t>
        </is>
      </c>
      <c r="B13" s="6" t="inlineStr">
        <is>
          <t>MPAJ Local Plan 2020 portal</t>
        </is>
      </c>
      <c r="C13" s="6" t="inlineStr">
        <is>
          <t>Ampang Jaya Municipal Council</t>
        </is>
      </c>
      <c r="D13" s="6" t="inlineStr">
        <is>
          <t>2020</t>
        </is>
      </c>
      <c r="E13" s="6" t="inlineStr">
        <is>
          <t>https://www.mpaj.gov.my/en/mpaj/resources/legal/2020-mpaj-local-plan-report</t>
        </is>
      </c>
      <c r="F13" s="6" t="inlineStr">
        <is>
          <t>Local planning-area and land-use context</t>
        </is>
      </c>
      <c r="G13" s="6" t="inlineStr">
        <is>
          <t>Historical plan; site ownership, current conditions and measurements remain unverified</t>
        </is>
      </c>
      <c r="H13" s="6" t="inlineStr">
        <is>
          <t>Authoritative external source</t>
        </is>
      </c>
    </row>
    <row r="14" ht="30" customHeight="1">
      <c r="A14" s="6" t="inlineStr">
        <is>
          <t>SRC-11</t>
        </is>
      </c>
      <c r="B14" s="6" t="inlineStr">
        <is>
          <t>MIROS research reports portal</t>
        </is>
      </c>
      <c r="C14" s="6" t="inlineStr">
        <is>
          <t>Malaysian Institute of Road Safety Research</t>
        </is>
      </c>
      <c r="D14" s="6" t="inlineStr">
        <is>
          <t>Portal current 2026</t>
        </is>
      </c>
      <c r="E14" s="6" t="inlineStr">
        <is>
          <t>https://www.miros.gov.my/xs/page.php?s=laporan-kajian</t>
        </is>
      </c>
      <c r="F14" s="6" t="inlineStr">
        <is>
          <t>Pedestrian delay, road-user behaviour and safety research catalogue</t>
        </is>
      </c>
      <c r="G14" s="6" t="inlineStr">
        <is>
          <t>Individual reports must be obtained and assessed before quantitative transfer</t>
        </is>
      </c>
      <c r="H14" s="6" t="inlineStr">
        <is>
          <t>Authoritative external source</t>
        </is>
      </c>
    </row>
  </sheetData>
  <mergeCells count="2">
    <mergeCell ref="A2:H2"/>
    <mergeCell ref="A1:H1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4" customWidth="1" min="3" max="3"/>
    <col width="41" customWidth="1" min="4" max="4"/>
    <col width="43" customWidth="1" min="5" max="5"/>
    <col width="26" customWidth="1" min="6" max="6"/>
    <col width="18" customWidth="1" min="7" max="7"/>
    <col width="20" customWidth="1" min="8" max="8"/>
  </cols>
  <sheetData>
    <row r="1" ht="34" customHeight="1">
      <c r="A1" s="1" t="inlineStr">
        <is>
          <t>Assumptions and Data Gaps</t>
        </is>
      </c>
    </row>
    <row r="2" ht="30" customHeight="1">
      <c r="A2" s="2" t="inlineStr">
        <is>
          <t>These items are not facts about any actual MPAJ junction.</t>
        </is>
      </c>
    </row>
    <row r="3" ht="32" customHeight="1">
      <c r="A3" s="5" t="inlineStr">
        <is>
          <t>Gap ID</t>
        </is>
      </c>
      <c r="B3" s="5" t="inlineStr">
        <is>
          <t>Assumption / gap</t>
        </is>
      </c>
      <c r="C3" s="5" t="inlineStr">
        <is>
          <t>Evidence class</t>
        </is>
      </c>
      <c r="D3" s="5" t="inlineStr">
        <is>
          <t>Impact</t>
        </is>
      </c>
      <c r="E3" s="5" t="inlineStr">
        <is>
          <t>Verification action</t>
        </is>
      </c>
      <c r="F3" s="5" t="inlineStr">
        <is>
          <t>Owner</t>
        </is>
      </c>
      <c r="G3" s="5" t="inlineStr">
        <is>
          <t>Due status</t>
        </is>
      </c>
      <c r="H3" s="5" t="inlineStr">
        <is>
          <t>Related gate</t>
        </is>
      </c>
    </row>
    <row r="4" ht="30" customHeight="1">
      <c r="A4" s="6" t="inlineStr">
        <is>
          <t>DG01</t>
        </is>
      </c>
      <c r="B4" s="6" t="inlineStr">
        <is>
          <t>No candidate junction has been nominated</t>
        </is>
      </c>
      <c r="C4" s="6" t="inlineStr">
        <is>
          <t>Research gap</t>
        </is>
      </c>
      <c r="D4" s="6" t="inlineStr">
        <is>
          <t>Cannot confirm geometry, demand, ownership or suitability</t>
        </is>
      </c>
      <c r="E4" s="6" t="inlineStr">
        <is>
          <t>MPAJ nominate and define jurisdiction</t>
        </is>
      </c>
      <c r="F4" s="6" t="inlineStr">
        <is>
          <t>MPAJ</t>
        </is>
      </c>
      <c r="G4" s="6" t="inlineStr">
        <is>
          <t>Data Required</t>
        </is>
      </c>
      <c r="H4" s="6" t="inlineStr">
        <is>
          <t>G13</t>
        </is>
      </c>
    </row>
    <row r="5" ht="30" customHeight="1">
      <c r="A5" s="6" t="inlineStr">
        <is>
          <t>DG02</t>
        </is>
      </c>
      <c r="B5" s="6" t="inlineStr">
        <is>
          <t>Concept scores represent generic engineering complexity</t>
        </is>
      </c>
      <c r="C5" s="6" t="inlineStr">
        <is>
          <t>Preliminary assumption</t>
        </is>
      </c>
      <c r="D5" s="6" t="inlineStr">
        <is>
          <t>Ranking may change materially with field data</t>
        </is>
      </c>
      <c r="E5" s="6" t="inlineStr">
        <is>
          <t>Replace scores with survey-backed assessments</t>
        </is>
      </c>
      <c r="F5" s="6" t="inlineStr">
        <is>
          <t>Traffic engineer</t>
        </is>
      </c>
      <c r="G5" s="6" t="inlineStr">
        <is>
          <t>Data Required</t>
        </is>
      </c>
      <c r="H5" s="6" t="inlineStr">
        <is>
          <t>All</t>
        </is>
      </c>
    </row>
    <row r="6" ht="30" customHeight="1">
      <c r="A6" s="6" t="inlineStr">
        <is>
          <t>DG03</t>
        </is>
      </c>
      <c r="B6" s="6" t="inlineStr">
        <is>
          <t>No measured pedestrian, vehicle, speed or queue data</t>
        </is>
      </c>
      <c r="C6" s="6" t="inlineStr">
        <is>
          <t>Research gap</t>
        </is>
      </c>
      <c r="D6" s="6" t="inlineStr">
        <is>
          <t>Signal warrants and capacity unknown</t>
        </is>
      </c>
      <c r="E6" s="6" t="inlineStr">
        <is>
          <t>Complete survey schedule</t>
        </is>
      </c>
      <c r="F6" s="6" t="inlineStr">
        <is>
          <t>Survey team</t>
        </is>
      </c>
      <c r="G6" s="6" t="inlineStr">
        <is>
          <t>Data Required</t>
        </is>
      </c>
      <c r="H6" s="6" t="inlineStr">
        <is>
          <t>G01/G02/G05/G07</t>
        </is>
      </c>
    </row>
    <row r="7" ht="30" customHeight="1">
      <c r="A7" s="6" t="inlineStr">
        <is>
          <t>DG04</t>
        </is>
      </c>
      <c r="B7" s="6" t="inlineStr">
        <is>
          <t>No local crash/near-miss dataset supplied</t>
        </is>
      </c>
      <c r="C7" s="6" t="inlineStr">
        <is>
          <t>Research gap</t>
        </is>
      </c>
      <c r="D7" s="6" t="inlineStr">
        <is>
          <t>Safety priority and baseline unknown</t>
        </is>
      </c>
      <c r="E7" s="6" t="inlineStr">
        <is>
          <t>Obtain PDRM/MPAJ/MIROS records and conflict study</t>
        </is>
      </c>
      <c r="F7" s="6" t="inlineStr">
        <is>
          <t>MPAJ</t>
        </is>
      </c>
      <c r="G7" s="6" t="inlineStr">
        <is>
          <t>Data Required</t>
        </is>
      </c>
      <c r="H7" s="6" t="inlineStr">
        <is>
          <t>All</t>
        </is>
      </c>
    </row>
    <row r="8" ht="30" customHeight="1">
      <c r="A8" s="6" t="inlineStr">
        <is>
          <t>DG05</t>
        </is>
      </c>
      <c r="B8" s="6" t="inlineStr">
        <is>
          <t>No controller make/model or phasing plan supplied</t>
        </is>
      </c>
      <c r="C8" s="6" t="inlineStr">
        <is>
          <t>Research gap</t>
        </is>
      </c>
      <c r="D8" s="6" t="inlineStr">
        <is>
          <t>Interlock feasibility unknown</t>
        </is>
      </c>
      <c r="E8" s="6" t="inlineStr">
        <is>
          <t>Controller audit and lab test</t>
        </is>
      </c>
      <c r="F8" s="6" t="inlineStr">
        <is>
          <t>Signal engineer</t>
        </is>
      </c>
      <c r="G8" s="6" t="inlineStr">
        <is>
          <t>Data Required</t>
        </is>
      </c>
      <c r="H8" s="6" t="inlineStr">
        <is>
          <t>G03/G06/G09</t>
        </is>
      </c>
    </row>
    <row r="9" ht="30" customHeight="1">
      <c r="A9" s="6" t="inlineStr">
        <is>
          <t>DG06</t>
        </is>
      </c>
      <c r="B9" s="6" t="inlineStr">
        <is>
          <t>No accessibility measurements or user audit</t>
        </is>
      </c>
      <c r="C9" s="6" t="inlineStr">
        <is>
          <t>Research gap</t>
        </is>
      </c>
      <c r="D9" s="6" t="inlineStr">
        <is>
          <t>Inclusive route cannot be confirmed</t>
        </is>
      </c>
      <c r="E9" s="6" t="inlineStr">
        <is>
          <t>Complete access audit and licensed-standard review</t>
        </is>
      </c>
      <c r="F9" s="6" t="inlineStr">
        <is>
          <t>Accessibility specialist</t>
        </is>
      </c>
      <c r="G9" s="6" t="inlineStr">
        <is>
          <t>Data Required</t>
        </is>
      </c>
      <c r="H9" s="6" t="inlineStr">
        <is>
          <t>G04</t>
        </is>
      </c>
    </row>
    <row r="10" ht="30" customHeight="1">
      <c r="A10" s="6" t="inlineStr">
        <is>
          <t>DG07</t>
        </is>
      </c>
      <c r="B10" s="6" t="inlineStr">
        <is>
          <t>No legal authority for CCTV/ANPR established</t>
        </is>
      </c>
      <c r="C10" s="6" t="inlineStr">
        <is>
          <t>Research gap</t>
        </is>
      </c>
      <c r="D10" s="6" t="inlineStr">
        <is>
          <t>Identifiable capture may be unlawful/unapproved</t>
        </is>
      </c>
      <c r="E10" s="6" t="inlineStr">
        <is>
          <t>Legal review and DPIA</t>
        </is>
      </c>
      <c r="F10" s="6" t="inlineStr">
        <is>
          <t>Legal/DPO</t>
        </is>
      </c>
      <c r="G10" s="6" t="inlineStr">
        <is>
          <t>Data Required</t>
        </is>
      </c>
      <c r="H10" s="6" t="inlineStr">
        <is>
          <t>G11</t>
        </is>
      </c>
    </row>
    <row r="11" ht="30" customHeight="1">
      <c r="A11" s="6" t="inlineStr">
        <is>
          <t>DG08</t>
        </is>
      </c>
      <c r="B11" s="6" t="inlineStr">
        <is>
          <t>No supplier quotations or lifecycle-cost data</t>
        </is>
      </c>
      <c r="C11" s="6" t="inlineStr">
        <is>
          <t>Research gap</t>
        </is>
      </c>
      <c r="D11" s="6" t="inlineStr">
        <is>
          <t>Affordability unknown</t>
        </is>
      </c>
      <c r="E11" s="6" t="inlineStr">
        <is>
          <t>Market testing and whole-life quotations</t>
        </is>
      </c>
      <c r="F11" s="6" t="inlineStr">
        <is>
          <t>Procurement</t>
        </is>
      </c>
      <c r="G11" s="6" t="inlineStr">
        <is>
          <t>Data Required</t>
        </is>
      </c>
      <c r="H11" s="6" t="inlineStr">
        <is>
          <t>Delivery</t>
        </is>
      </c>
    </row>
    <row r="12" ht="30" customHeight="1">
      <c r="A12" s="6" t="inlineStr">
        <is>
          <t>DG09</t>
        </is>
      </c>
      <c r="B12" s="6" t="inlineStr">
        <is>
          <t>No emergency-services operating agreement</t>
        </is>
      </c>
      <c r="C12" s="6" t="inlineStr">
        <is>
          <t>Research gap</t>
        </is>
      </c>
      <c r="D12" s="6" t="inlineStr">
        <is>
          <t>Priority and incident response unresolved</t>
        </is>
      </c>
      <c r="E12" s="6" t="inlineStr">
        <is>
          <t>Joint tabletop and field exercise</t>
        </is>
      </c>
      <c r="F12" s="6" t="inlineStr">
        <is>
          <t>MPAJ/emergency services</t>
        </is>
      </c>
      <c r="G12" s="6" t="inlineStr">
        <is>
          <t>Data Required</t>
        </is>
      </c>
      <c r="H12" s="6" t="inlineStr">
        <is>
          <t>G14</t>
        </is>
      </c>
    </row>
    <row r="13" ht="30" customHeight="1">
      <c r="A13" s="6" t="inlineStr">
        <is>
          <t>DG10</t>
        </is>
      </c>
      <c r="B13" s="6" t="inlineStr">
        <is>
          <t>Live application visual state not inspected</t>
        </is>
      </c>
      <c r="C13" s="6" t="inlineStr">
        <is>
          <t>Evidence limitation</t>
        </is>
      </c>
      <c r="D13" s="6" t="inlineStr">
        <is>
          <t>Responsive and deployed UI claims not current-verified</t>
        </is>
      </c>
      <c r="E13" s="6" t="inlineStr">
        <is>
          <t>Project owner provides authenticated browser review</t>
        </is>
      </c>
      <c r="F13" s="6" t="inlineStr">
        <is>
          <t>Project owner</t>
        </is>
      </c>
      <c r="G13" s="6" t="inlineStr">
        <is>
          <t>Data Required</t>
        </is>
      </c>
      <c r="H13" s="6" t="inlineStr">
        <is>
          <t>Baseline</t>
        </is>
      </c>
    </row>
  </sheetData>
  <mergeCells count="2">
    <mergeCell ref="A2:H2"/>
    <mergeCell ref="A1:H1"/>
  </mergeCells>
  <dataValidations count="1">
    <dataValidation sqref="G4:G13" showDropDown="0" showInputMessage="0" showErrorMessage="0" allowBlank="1" type="list">
      <formula1>"Not Started,In Progress,Complete,Blocked,Data Required"</formula1>
    </dataValidation>
  </dataValidation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7" customWidth="1" min="3" max="3"/>
    <col width="44" customWidth="1" min="4" max="4"/>
    <col width="14" customWidth="1" min="5" max="5"/>
    <col width="16" customWidth="1" min="6" max="6"/>
    <col width="42" customWidth="1" min="7" max="7"/>
  </cols>
  <sheetData>
    <row r="1" ht="34" customHeight="1">
      <c r="A1" s="1" t="inlineStr">
        <is>
          <t>Validation Checklist</t>
        </is>
      </c>
    </row>
    <row r="2" ht="30" customHeight="1">
      <c r="A2" s="2" t="inlineStr">
        <is>
          <t>QA record for content, formulas, engineering boundaries and rendered deliverables.</t>
        </is>
      </c>
    </row>
    <row r="3" ht="32" customHeight="1">
      <c r="A3" s="5" t="inlineStr">
        <is>
          <t>Check ID</t>
        </is>
      </c>
      <c r="B3" s="5" t="inlineStr">
        <is>
          <t>Category</t>
        </is>
      </c>
      <c r="C3" s="5" t="inlineStr">
        <is>
          <t>Check</t>
        </is>
      </c>
      <c r="D3" s="5" t="inlineStr">
        <is>
          <t>Method / evidence</t>
        </is>
      </c>
      <c r="E3" s="5" t="inlineStr">
        <is>
          <t>Result</t>
        </is>
      </c>
      <c r="F3" s="5" t="inlineStr">
        <is>
          <t>Checked date</t>
        </is>
      </c>
      <c r="G3" s="5" t="inlineStr">
        <is>
          <t>Notes</t>
        </is>
      </c>
    </row>
    <row r="4" ht="30" customHeight="1">
      <c r="A4" s="6" t="inlineStr">
        <is>
          <t>QA01</t>
        </is>
      </c>
      <c r="B4" s="6" t="inlineStr">
        <is>
          <t>Content</t>
        </is>
      </c>
      <c r="C4" s="6" t="inlineStr">
        <is>
          <t>22 required worksheets present</t>
        </is>
      </c>
      <c r="D4" s="6" t="inlineStr">
        <is>
          <t>Workbook structure check</t>
        </is>
      </c>
      <c r="E4" s="6" t="inlineStr">
        <is>
          <t>Pass</t>
        </is>
      </c>
      <c r="F4" s="6" t="inlineStr">
        <is>
          <t>2026-09-07</t>
        </is>
      </c>
      <c r="G4" s="6" t="inlineStr"/>
    </row>
    <row r="5" ht="30" customHeight="1">
      <c r="A5" s="6" t="inlineStr">
        <is>
          <t>QA02</t>
        </is>
      </c>
      <c r="B5" s="6" t="inlineStr">
        <is>
          <t>Formulas</t>
        </is>
      </c>
      <c r="C5" s="6" t="inlineStr">
        <is>
          <t>No formula error tokens in workbook formulas</t>
        </is>
      </c>
      <c r="D5" s="6" t="inlineStr">
        <is>
          <t>Programmatic formula scan</t>
        </is>
      </c>
      <c r="E5" s="6" t="inlineStr">
        <is>
          <t>Pass</t>
        </is>
      </c>
      <c r="F5" s="6" t="inlineStr">
        <is>
          <t>2026-09-07</t>
        </is>
      </c>
      <c r="G5" s="6" t="inlineStr"/>
    </row>
    <row r="6" ht="30" customHeight="1">
      <c r="A6" s="6" t="inlineStr">
        <is>
          <t>QA03</t>
        </is>
      </c>
      <c r="B6" s="6" t="inlineStr">
        <is>
          <t>Formulas</t>
        </is>
      </c>
      <c r="C6" s="6" t="inlineStr">
        <is>
          <t>Weight total equals 100%</t>
        </is>
      </c>
      <c r="D6" s="6" t="inlineStr">
        <is>
          <t>Criteria and Weights control</t>
        </is>
      </c>
      <c r="E6" s="6" t="inlineStr">
        <is>
          <t>Pass</t>
        </is>
      </c>
      <c r="F6" s="6" t="inlineStr">
        <is>
          <t>2026-09-07</t>
        </is>
      </c>
      <c r="G6" s="6" t="inlineStr"/>
    </row>
    <row r="7" ht="30" customHeight="1">
      <c r="A7" s="6" t="inlineStr">
        <is>
          <t>QA04</t>
        </is>
      </c>
      <c r="B7" s="6" t="inlineStr">
        <is>
          <t>Engineering</t>
        </is>
      </c>
      <c r="C7" s="6" t="inlineStr">
        <is>
          <t>Protected WALK rule retained</t>
        </is>
      </c>
      <c r="D7" s="6" t="inlineStr">
        <is>
          <t>Repository audit and sequence model</t>
        </is>
      </c>
      <c r="E7" s="6" t="inlineStr">
        <is>
          <t>Pass</t>
        </is>
      </c>
      <c r="F7" s="6" t="inlineStr">
        <is>
          <t>2026-09-07</t>
        </is>
      </c>
      <c r="G7" s="6" t="inlineStr"/>
    </row>
    <row r="8" ht="30" customHeight="1">
      <c r="A8" s="6" t="inlineStr">
        <is>
          <t>QA05</t>
        </is>
      </c>
      <c r="B8" s="6" t="inlineStr">
        <is>
          <t>Engineering</t>
        </is>
      </c>
      <c r="C8" s="6" t="inlineStr">
        <is>
          <t>Unresolved critical gates block pilot</t>
        </is>
      </c>
      <c r="D8" s="6" t="inlineStr">
        <is>
          <t>Executive Summary formula/control</t>
        </is>
      </c>
      <c r="E8" s="6" t="inlineStr">
        <is>
          <t>Pass</t>
        </is>
      </c>
      <c r="F8" s="6" t="inlineStr">
        <is>
          <t>2026-09-07</t>
        </is>
      </c>
      <c r="G8" s="6" t="inlineStr"/>
    </row>
    <row r="9" ht="30" customHeight="1">
      <c r="A9" s="6" t="inlineStr">
        <is>
          <t>QA06</t>
        </is>
      </c>
      <c r="B9" s="6" t="inlineStr">
        <is>
          <t>Evidence</t>
        </is>
      </c>
      <c r="C9" s="6" t="inlineStr">
        <is>
          <t>Unknown site data not converted to zero</t>
        </is>
      </c>
      <c r="D9" s="6" t="inlineStr">
        <is>
          <t>Input scan</t>
        </is>
      </c>
      <c r="E9" s="6" t="inlineStr">
        <is>
          <t>Pass</t>
        </is>
      </c>
      <c r="F9" s="6" t="inlineStr">
        <is>
          <t>2026-09-07</t>
        </is>
      </c>
      <c r="G9" s="6" t="inlineStr"/>
    </row>
    <row r="10" ht="30" customHeight="1">
      <c r="A10" s="6" t="inlineStr">
        <is>
          <t>QA07</t>
        </is>
      </c>
      <c r="B10" s="6" t="inlineStr">
        <is>
          <t>Evidence</t>
        </is>
      </c>
      <c r="C10" s="6" t="inlineStr">
        <is>
          <t>Live app limitation disclosed</t>
        </is>
      </c>
      <c r="D10" s="6" t="inlineStr">
        <is>
          <t>Baseline/evidence/data-gap registers</t>
        </is>
      </c>
      <c r="E10" s="6" t="inlineStr">
        <is>
          <t>Pass</t>
        </is>
      </c>
      <c r="F10" s="6" t="inlineStr">
        <is>
          <t>2026-09-07</t>
        </is>
      </c>
      <c r="G10" s="6" t="inlineStr"/>
    </row>
    <row r="11" ht="30" customHeight="1">
      <c r="A11" s="6" t="inlineStr">
        <is>
          <t>QA08</t>
        </is>
      </c>
      <c r="B11" s="6" t="inlineStr">
        <is>
          <t>Privacy</t>
        </is>
      </c>
      <c r="C11" s="6" t="inlineStr">
        <is>
          <t>No credentials or real plate data included</t>
        </is>
      </c>
      <c r="D11" s="6" t="inlineStr">
        <is>
          <t>Content scan</t>
        </is>
      </c>
      <c r="E11" s="6" t="inlineStr">
        <is>
          <t>Pass</t>
        </is>
      </c>
      <c r="F11" s="6" t="inlineStr">
        <is>
          <t>2026-09-07</t>
        </is>
      </c>
      <c r="G11" s="6" t="inlineStr"/>
    </row>
    <row r="12" ht="30" customHeight="1">
      <c r="A12" s="6" t="inlineStr">
        <is>
          <t>QA09</t>
        </is>
      </c>
      <c r="B12" s="6" t="inlineStr">
        <is>
          <t>Consistency</t>
        </is>
      </c>
      <c r="C12" s="6" t="inlineStr">
        <is>
          <t>Configuration IDs consistent across outputs</t>
        </is>
      </c>
      <c r="D12" s="6" t="inlineStr">
        <is>
          <t>Shared Python data model</t>
        </is>
      </c>
      <c r="E12" s="6" t="inlineStr">
        <is>
          <t>Pass</t>
        </is>
      </c>
      <c r="F12" s="6" t="inlineStr">
        <is>
          <t>2026-09-07</t>
        </is>
      </c>
      <c r="G12" s="6" t="inlineStr"/>
    </row>
    <row r="13" ht="30" customHeight="1">
      <c r="A13" s="6" t="inlineStr">
        <is>
          <t>QA10</t>
        </is>
      </c>
      <c r="B13" s="6" t="inlineStr">
        <is>
          <t>Cost</t>
        </is>
      </c>
      <c r="C13" s="6" t="inlineStr">
        <is>
          <t>No fabricated supplier prices</t>
        </is>
      </c>
      <c r="D13" s="6" t="inlineStr">
        <is>
          <t>Cost inputs blank</t>
        </is>
      </c>
      <c r="E13" s="6" t="inlineStr">
        <is>
          <t>Pass</t>
        </is>
      </c>
      <c r="F13" s="6" t="inlineStr">
        <is>
          <t>2026-09-07</t>
        </is>
      </c>
      <c r="G13" s="6" t="inlineStr"/>
    </row>
    <row r="14" ht="30" customHeight="1">
      <c r="A14" s="6" t="inlineStr">
        <is>
          <t>QA11</t>
        </is>
      </c>
      <c r="B14" s="6" t="inlineStr">
        <is>
          <t>Visual</t>
        </is>
      </c>
      <c r="C14" s="6" t="inlineStr">
        <is>
          <t>Every worksheet exported for visual review</t>
        </is>
      </c>
      <c r="D14" s="6" t="inlineStr">
        <is>
          <t>Excel PDF export / image review</t>
        </is>
      </c>
      <c r="E14" s="6" t="inlineStr">
        <is>
          <t>Pending</t>
        </is>
      </c>
      <c r="F14" s="6" t="inlineStr">
        <is>
          <t>2026-09-07</t>
        </is>
      </c>
      <c r="G14" s="6" t="inlineStr"/>
    </row>
    <row r="15" ht="30" customHeight="1">
      <c r="A15" s="6" t="inlineStr">
        <is>
          <t>QA12</t>
        </is>
      </c>
      <c r="B15" s="6" t="inlineStr">
        <is>
          <t>Visual</t>
        </is>
      </c>
      <c r="C15" s="6" t="inlineStr">
        <is>
          <t>Every PDF page rendered and inspected</t>
        </is>
      </c>
      <c r="D15" s="6" t="inlineStr">
        <is>
          <t>PDF render contact sheets</t>
        </is>
      </c>
      <c r="E15" s="6" t="inlineStr">
        <is>
          <t>Pending</t>
        </is>
      </c>
      <c r="F15" s="6" t="inlineStr">
        <is>
          <t>2026-09-07</t>
        </is>
      </c>
      <c r="G15" s="6" t="inlineStr"/>
    </row>
    <row r="16" ht="30" customHeight="1">
      <c r="A16" s="6" t="inlineStr">
        <is>
          <t>QA13</t>
        </is>
      </c>
      <c r="B16" s="6" t="inlineStr">
        <is>
          <t>Files</t>
        </is>
      </c>
      <c r="C16" s="6" t="inlineStr">
        <is>
          <t>XLSX re-opened successfully</t>
        </is>
      </c>
      <c r="D16" s="6" t="inlineStr">
        <is>
          <t>openpyxl load check</t>
        </is>
      </c>
      <c r="E16" s="6" t="inlineStr">
        <is>
          <t>Pending</t>
        </is>
      </c>
      <c r="F16" s="6" t="inlineStr">
        <is>
          <t>2026-09-07</t>
        </is>
      </c>
      <c r="G16" s="6" t="inlineStr"/>
    </row>
    <row r="17" ht="30" customHeight="1">
      <c r="A17" s="6" t="inlineStr">
        <is>
          <t>QA14</t>
        </is>
      </c>
      <c r="B17" s="6" t="inlineStr">
        <is>
          <t>Files</t>
        </is>
      </c>
      <c r="C17" s="6" t="inlineStr">
        <is>
          <t>PDF re-opened successfully</t>
        </is>
      </c>
      <c r="D17" s="6" t="inlineStr">
        <is>
          <t>pypdf page/text check</t>
        </is>
      </c>
      <c r="E17" s="6" t="inlineStr">
        <is>
          <t>Pending</t>
        </is>
      </c>
      <c r="F17" s="6" t="inlineStr">
        <is>
          <t>2026-09-07</t>
        </is>
      </c>
      <c r="G17" s="6" t="inlineStr"/>
    </row>
  </sheetData>
  <mergeCells count="2">
    <mergeCell ref="A2:G2"/>
    <mergeCell ref="A1:G1"/>
  </mergeCells>
  <pageMargins left="0.25" right="0.25" top="0.5" bottom="0.5" header="0.5" footer="0.5"/>
  <pageSetup fitToHeight="0" fitToWidth="1"/>
  <headerFooter>
    <oddHeader>&amp;RVerified 2026-09-07</oddHeader>
    <oddFooter>&amp;CSmartCross feasibility study | Simulation and decision support only&amp;RPage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MPAJ SmartCross 2.2 Three-Arm and Four-Arm Intersection Feasibility Study</dc:title>
  <dc:subject>Initial criteria-based feasibility screening; not construction approval</dc:subject>
  <dcterms:created xsi:type="dcterms:W3CDTF">2026-09-07T05:13:18Z</dcterms:created>
  <dcterms:modified xsi:type="dcterms:W3CDTF">2026-09-07T05:13:18Z</dcterms:modified>
</cp:coreProperties>
</file>